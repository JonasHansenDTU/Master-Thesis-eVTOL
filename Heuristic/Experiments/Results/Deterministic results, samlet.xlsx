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pta\Documents\DTU\Speciale\GitHubFiles\Heuristic\Experiments\Results\"/>
    </mc:Choice>
  </mc:AlternateContent>
  <xr:revisionPtr revIDLastSave="0" documentId="8_{2174390A-42D5-4488-8B9B-CAC66683B75C}" xr6:coauthVersionLast="47" xr6:coauthVersionMax="47" xr10:uidLastSave="{00000000-0000-0000-0000-000000000000}"/>
  <bookViews>
    <workbookView xWindow="9705" yWindow="2985" windowWidth="28695" windowHeight="15225" activeTab="2" xr2:uid="{3A184787-BD53-4D94-B163-FCD1CFFF27BA}"/>
  </bookViews>
  <sheets>
    <sheet name="Standard" sheetId="1" r:id="rId1"/>
    <sheet name="Lower Turnaround" sheetId="2" r:id="rId2"/>
    <sheet name="Lower Operational costs" sheetId="3" r:id="rId3"/>
  </sheets>
  <definedNames>
    <definedName name="_xlchart.v1.0" hidden="1">Standard!$B$1</definedName>
    <definedName name="_xlchart.v1.1" hidden="1">Standard!$B$2:$B$21</definedName>
    <definedName name="_xlchart.v1.10" hidden="1">Standard!$B$2:$B$21</definedName>
    <definedName name="_xlchart.v1.11" hidden="1">Standard!$C$1</definedName>
    <definedName name="_xlchart.v1.12" hidden="1">Standard!$C$2:$C$21</definedName>
    <definedName name="_xlchart.v1.2" hidden="1">Standard!$C$1</definedName>
    <definedName name="_xlchart.v1.3" hidden="1">Standard!$C$2:$C$21</definedName>
    <definedName name="_xlchart.v1.4" hidden="1">'Lower Turnaround'!$B$1</definedName>
    <definedName name="_xlchart.v1.5" hidden="1">Standard!$B$1</definedName>
    <definedName name="_xlchart.v1.6" hidden="1">Standard!$B$2:$B$21</definedName>
    <definedName name="_xlchart.v1.7" hidden="1">Standard!$C$1</definedName>
    <definedName name="_xlchart.v1.8" hidden="1">Standard!$C$2:$C$21</definedName>
    <definedName name="_xlchart.v1.9" hidden="1">Standard!$B$1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3" i="2" l="1"/>
  <c r="F23" i="2"/>
  <c r="E23" i="2"/>
  <c r="D23" i="2"/>
  <c r="C23" i="2"/>
  <c r="B23" i="2"/>
  <c r="C23" i="1" l="1"/>
  <c r="D23" i="1"/>
  <c r="E23" i="1"/>
  <c r="F23" i="1"/>
  <c r="G23" i="1"/>
  <c r="B23" i="1"/>
</calcChain>
</file>

<file path=xl/sharedStrings.xml><?xml version="1.0" encoding="utf-8"?>
<sst xmlns="http://schemas.openxmlformats.org/spreadsheetml/2006/main" count="34" uniqueCount="27">
  <si>
    <t>run</t>
  </si>
  <si>
    <t>best_obj</t>
  </si>
  <si>
    <t>best_profit</t>
  </si>
  <si>
    <t>aircraft_utilization</t>
  </si>
  <si>
    <t>deadhead_time</t>
  </si>
  <si>
    <t>passenger_demand_served</t>
  </si>
  <si>
    <t>average_passenger_waiting_time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</si>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</sst>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</cx:chartData>
  <cx:chart>
    <cx:title pos="t" align="ctr" overlay="0"/>
    <cx:plotArea>
      <cx:plotAreaRegion>
        <cx:series layoutId="boxWhisker" uniqueId="{00000000-2B24-4FAE-9F76-E43359A7051A}">
          <cx:tx>
            <cx:txData>
              <cx:f>_xlchart.v1.0</cx:f>
              <cx:v>best_obj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00000001-2B24-4FAE-9F76-E43359A7051A}">
          <cx:tx>
            <cx:txData>
              <cx:f>_xlchart.v1.2</cx:f>
              <cx:v>best_profit</cx:v>
            </cx:txData>
          </cx:tx>
          <cx:dataId val="1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476250</xdr:colOff>
      <xdr:row>6</xdr:row>
      <xdr:rowOff>85725</xdr:rowOff>
    </xdr:from>
    <xdr:to>
      <xdr:col>16</xdr:col>
      <xdr:colOff>476250</xdr:colOff>
      <xdr:row>24</xdr:row>
      <xdr:rowOff>23812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CD9FBFFB-BC1C-5E90-E934-AE123A9F59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01075" y="1228725"/>
              <a:ext cx="5486400" cy="336708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DK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FF44A-2695-490E-A9CD-62E25082CEF5}">
  <dimension ref="A1:G23"/>
  <sheetViews>
    <sheetView workbookViewId="0">
      <selection activeCell="K6" sqref="K6"/>
    </sheetView>
  </sheetViews>
  <sheetFormatPr defaultRowHeight="15" x14ac:dyDescent="0.25"/>
  <cols>
    <col min="2" max="2" width="12.7109375" bestFit="1" customWidth="1"/>
    <col min="3" max="3" width="12" bestFit="1" customWidth="1"/>
    <col min="4" max="4" width="17.42578125" bestFit="1" customWidth="1"/>
    <col min="5" max="5" width="14.7109375" bestFit="1" customWidth="1"/>
    <col min="6" max="6" width="25.28515625" bestFit="1" customWidth="1"/>
    <col min="7" max="7" width="30.5703125" bestFit="1" customWidth="1"/>
  </cols>
  <sheetData>
    <row r="1" spans="1:7" x14ac:dyDescent="0.25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1" t="s">
        <v>7</v>
      </c>
      <c r="B2">
        <v>-4724.3215390754203</v>
      </c>
      <c r="C2">
        <v>10775.678460924501</v>
      </c>
      <c r="D2">
        <v>0.11752136752136701</v>
      </c>
      <c r="E2">
        <v>43</v>
      </c>
      <c r="F2">
        <v>4</v>
      </c>
      <c r="G2">
        <v>0.75</v>
      </c>
    </row>
    <row r="3" spans="1:7" x14ac:dyDescent="0.25">
      <c r="A3" s="1" t="s">
        <v>8</v>
      </c>
      <c r="B3">
        <v>-2826.4216765835199</v>
      </c>
      <c r="C3">
        <v>14373.578323416399</v>
      </c>
      <c r="D3">
        <v>0.109615384615384</v>
      </c>
      <c r="E3">
        <v>48</v>
      </c>
      <c r="F3">
        <v>5</v>
      </c>
      <c r="G3">
        <v>3.4</v>
      </c>
    </row>
    <row r="4" spans="1:7" x14ac:dyDescent="0.25">
      <c r="A4" s="1" t="s">
        <v>9</v>
      </c>
      <c r="B4">
        <v>-9624.2609110243393</v>
      </c>
      <c r="C4">
        <v>7075.7390889756498</v>
      </c>
      <c r="D4">
        <v>0.116025641025641</v>
      </c>
      <c r="E4">
        <v>39</v>
      </c>
      <c r="F4">
        <v>4</v>
      </c>
      <c r="G4">
        <v>0</v>
      </c>
    </row>
    <row r="5" spans="1:7" x14ac:dyDescent="0.25">
      <c r="A5" s="1" t="s">
        <v>10</v>
      </c>
      <c r="B5">
        <v>-3870.84165702987</v>
      </c>
      <c r="C5">
        <v>13129.1583429701</v>
      </c>
      <c r="D5">
        <v>0.20512820512820501</v>
      </c>
      <c r="E5">
        <v>0</v>
      </c>
      <c r="F5">
        <v>3</v>
      </c>
      <c r="G5">
        <v>7.6666666666666599</v>
      </c>
    </row>
    <row r="6" spans="1:7" x14ac:dyDescent="0.25">
      <c r="A6" s="1" t="s">
        <v>11</v>
      </c>
      <c r="B6">
        <v>-901.60920554804704</v>
      </c>
      <c r="C6">
        <v>14298.3907944519</v>
      </c>
      <c r="D6">
        <v>0.124358974358974</v>
      </c>
      <c r="E6">
        <v>47</v>
      </c>
      <c r="F6">
        <v>6</v>
      </c>
      <c r="G6">
        <v>4.8333333333333304</v>
      </c>
    </row>
    <row r="7" spans="1:7" x14ac:dyDescent="0.25">
      <c r="A7" s="1" t="s">
        <v>12</v>
      </c>
      <c r="B7">
        <v>-3446.97575677849</v>
      </c>
      <c r="C7">
        <v>13553.0242432215</v>
      </c>
      <c r="D7">
        <v>0.14935897435897399</v>
      </c>
      <c r="E7">
        <v>13</v>
      </c>
      <c r="F7">
        <v>4</v>
      </c>
      <c r="G7">
        <v>4.5</v>
      </c>
    </row>
    <row r="8" spans="1:7" x14ac:dyDescent="0.25">
      <c r="A8" s="1" t="s">
        <v>13</v>
      </c>
      <c r="B8">
        <v>-2944.10985652711</v>
      </c>
      <c r="C8">
        <v>13155.8901434728</v>
      </c>
      <c r="D8">
        <v>0.13076923076923</v>
      </c>
      <c r="E8">
        <v>26</v>
      </c>
      <c r="F8">
        <v>5</v>
      </c>
      <c r="G8">
        <v>7.6</v>
      </c>
    </row>
    <row r="9" spans="1:7" x14ac:dyDescent="0.25">
      <c r="A9" s="1" t="s">
        <v>14</v>
      </c>
      <c r="B9">
        <v>-11191.3730702958</v>
      </c>
      <c r="C9">
        <v>4908.6269297041299</v>
      </c>
      <c r="D9">
        <v>0.117948717948717</v>
      </c>
      <c r="E9">
        <v>19</v>
      </c>
      <c r="F9">
        <v>3</v>
      </c>
      <c r="G9">
        <v>1.6666666666666601</v>
      </c>
    </row>
    <row r="10" spans="1:7" x14ac:dyDescent="0.25">
      <c r="A10" s="1" t="s">
        <v>15</v>
      </c>
      <c r="B10">
        <v>-8605.7110392395498</v>
      </c>
      <c r="C10">
        <v>8894.2889607604393</v>
      </c>
      <c r="D10">
        <v>0.128846153846153</v>
      </c>
      <c r="E10">
        <v>91</v>
      </c>
      <c r="F10">
        <v>7</v>
      </c>
      <c r="G10">
        <v>9.4285714285714199</v>
      </c>
    </row>
    <row r="11" spans="1:7" x14ac:dyDescent="0.25">
      <c r="A11" s="1" t="s">
        <v>16</v>
      </c>
      <c r="B11">
        <v>-3108.58957827207</v>
      </c>
      <c r="C11">
        <v>13891.4104217279</v>
      </c>
      <c r="D11">
        <v>0.124786324786324</v>
      </c>
      <c r="E11">
        <v>52</v>
      </c>
      <c r="F11">
        <v>4</v>
      </c>
      <c r="G11">
        <v>4.75</v>
      </c>
    </row>
    <row r="12" spans="1:7" x14ac:dyDescent="0.25">
      <c r="A12" s="1" t="s">
        <v>17</v>
      </c>
      <c r="B12">
        <v>-3658.8813815557501</v>
      </c>
      <c r="C12">
        <v>11541.118618444199</v>
      </c>
      <c r="D12">
        <v>0.12136752136752101</v>
      </c>
      <c r="E12">
        <v>44</v>
      </c>
      <c r="F12">
        <v>4</v>
      </c>
      <c r="G12">
        <v>7</v>
      </c>
    </row>
    <row r="13" spans="1:7" x14ac:dyDescent="0.25">
      <c r="A13" s="1" t="s">
        <v>18</v>
      </c>
      <c r="B13">
        <v>-3881.6230901090198</v>
      </c>
      <c r="C13">
        <v>13718.3769098909</v>
      </c>
      <c r="D13">
        <v>0.15384615384615299</v>
      </c>
      <c r="E13">
        <v>0</v>
      </c>
      <c r="F13">
        <v>2</v>
      </c>
      <c r="G13">
        <v>0</v>
      </c>
    </row>
    <row r="14" spans="1:7" x14ac:dyDescent="0.25">
      <c r="A14" s="1" t="s">
        <v>19</v>
      </c>
      <c r="B14">
        <v>-8798.3555069572194</v>
      </c>
      <c r="C14">
        <v>7201.6444930427697</v>
      </c>
      <c r="D14">
        <v>0.12136752136752101</v>
      </c>
      <c r="E14">
        <v>93</v>
      </c>
      <c r="F14">
        <v>7</v>
      </c>
      <c r="G14">
        <v>0.71428571428571397</v>
      </c>
    </row>
    <row r="15" spans="1:7" x14ac:dyDescent="0.25">
      <c r="A15" s="1" t="s">
        <v>20</v>
      </c>
      <c r="B15">
        <v>-6446.6230901090203</v>
      </c>
      <c r="C15">
        <v>10853.3769098909</v>
      </c>
      <c r="D15">
        <v>0.15384615384615299</v>
      </c>
      <c r="E15">
        <v>0</v>
      </c>
      <c r="F15">
        <v>2</v>
      </c>
      <c r="G15">
        <v>0</v>
      </c>
    </row>
    <row r="16" spans="1:7" x14ac:dyDescent="0.25">
      <c r="A16" s="1" t="s">
        <v>21</v>
      </c>
      <c r="B16">
        <v>-10408.892764603999</v>
      </c>
      <c r="C16">
        <v>6691.1072353959498</v>
      </c>
      <c r="D16">
        <v>0.109615384615384</v>
      </c>
      <c r="E16">
        <v>51</v>
      </c>
      <c r="F16">
        <v>2</v>
      </c>
      <c r="G16">
        <v>0</v>
      </c>
    </row>
    <row r="17" spans="1:7" x14ac:dyDescent="0.25">
      <c r="A17" s="1" t="s">
        <v>22</v>
      </c>
      <c r="B17">
        <v>-8345.7840738473897</v>
      </c>
      <c r="C17">
        <v>9114.2159261526103</v>
      </c>
      <c r="D17">
        <v>0.113568376068376</v>
      </c>
      <c r="E17">
        <v>16</v>
      </c>
      <c r="F17">
        <v>5</v>
      </c>
      <c r="G17">
        <v>2</v>
      </c>
    </row>
    <row r="18" spans="1:7" x14ac:dyDescent="0.25">
      <c r="A18" s="1" t="s">
        <v>23</v>
      </c>
      <c r="B18">
        <v>-5989.1172015013899</v>
      </c>
      <c r="C18">
        <v>11010.8827984986</v>
      </c>
      <c r="D18">
        <v>0.132692307692307</v>
      </c>
      <c r="E18">
        <v>27</v>
      </c>
      <c r="F18">
        <v>3</v>
      </c>
      <c r="G18">
        <v>5.3333333333333304</v>
      </c>
    </row>
    <row r="19" spans="1:7" x14ac:dyDescent="0.25">
      <c r="A19" s="1" t="s">
        <v>24</v>
      </c>
      <c r="B19">
        <v>-196.42902293501501</v>
      </c>
      <c r="C19">
        <v>17363.570977064901</v>
      </c>
      <c r="D19">
        <v>0.130128205128205</v>
      </c>
      <c r="E19">
        <v>25</v>
      </c>
      <c r="F19">
        <v>3</v>
      </c>
      <c r="G19">
        <v>4.6666666666666599</v>
      </c>
    </row>
    <row r="20" spans="1:7" x14ac:dyDescent="0.25">
      <c r="A20" s="1" t="s">
        <v>25</v>
      </c>
      <c r="B20">
        <v>-16057.873090109</v>
      </c>
      <c r="C20">
        <v>1542.12690989097</v>
      </c>
      <c r="D20">
        <v>0.125</v>
      </c>
      <c r="E20">
        <v>0</v>
      </c>
      <c r="F20">
        <v>2</v>
      </c>
      <c r="G20">
        <v>0</v>
      </c>
    </row>
    <row r="21" spans="1:7" x14ac:dyDescent="0.25">
      <c r="A21" s="1" t="s">
        <v>26</v>
      </c>
      <c r="B21">
        <v>-10158.741497462601</v>
      </c>
      <c r="C21">
        <v>6241.2585025373201</v>
      </c>
      <c r="D21">
        <v>0.125694444444444</v>
      </c>
      <c r="E21">
        <v>89</v>
      </c>
      <c r="F21">
        <v>9</v>
      </c>
      <c r="G21">
        <v>3.55555555555555</v>
      </c>
    </row>
    <row r="23" spans="1:7" x14ac:dyDescent="0.25">
      <c r="B23">
        <f>AVERAGE(B2:B21)</f>
        <v>-6259.3267504782307</v>
      </c>
      <c r="C23">
        <f t="shared" ref="C23:G23" si="0">AVERAGE(C2:C21)</f>
        <v>10466.673249521724</v>
      </c>
      <c r="D23">
        <f t="shared" si="0"/>
        <v>0.13057425213675167</v>
      </c>
      <c r="E23">
        <f t="shared" si="0"/>
        <v>36.15</v>
      </c>
      <c r="F23">
        <f t="shared" si="0"/>
        <v>4.2</v>
      </c>
      <c r="G23">
        <f t="shared" si="0"/>
        <v>3.3932539682539669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F5D5E-8BC0-4865-A1D5-4E1CA8D7487B}">
  <dimension ref="A1:G23"/>
  <sheetViews>
    <sheetView workbookViewId="0">
      <selection activeCell="G30" sqref="G30"/>
    </sheetView>
  </sheetViews>
  <sheetFormatPr defaultRowHeight="15" x14ac:dyDescent="0.25"/>
  <cols>
    <col min="2" max="2" width="12.7109375" bestFit="1" customWidth="1"/>
    <col min="3" max="3" width="12" bestFit="1" customWidth="1"/>
    <col min="4" max="4" width="17.42578125" bestFit="1" customWidth="1"/>
    <col min="5" max="5" width="14.7109375" bestFit="1" customWidth="1"/>
    <col min="6" max="6" width="25.28515625" bestFit="1" customWidth="1"/>
    <col min="7" max="7" width="30.5703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1</v>
      </c>
      <c r="B2">
        <v>-14226.0037923132</v>
      </c>
      <c r="C2">
        <v>3073.9962076867901</v>
      </c>
      <c r="D2">
        <v>7.1474358974358901E-2</v>
      </c>
      <c r="E2">
        <v>14</v>
      </c>
      <c r="F2">
        <v>3</v>
      </c>
      <c r="G2">
        <v>4.3333333333333304</v>
      </c>
    </row>
    <row r="3" spans="1:7" x14ac:dyDescent="0.25">
      <c r="A3">
        <v>2</v>
      </c>
      <c r="B3">
        <v>-9338.0789985844694</v>
      </c>
      <c r="C3">
        <v>7561.9210014155296</v>
      </c>
      <c r="D3">
        <v>0.118589743589743</v>
      </c>
      <c r="E3">
        <v>38</v>
      </c>
      <c r="F3">
        <v>4</v>
      </c>
      <c r="G3">
        <v>9</v>
      </c>
    </row>
    <row r="4" spans="1:7" x14ac:dyDescent="0.25">
      <c r="A4">
        <v>3</v>
      </c>
      <c r="B4">
        <v>-423.37469337294101</v>
      </c>
      <c r="C4">
        <v>14676.625306627</v>
      </c>
      <c r="D4">
        <v>0.16602564102564099</v>
      </c>
      <c r="E4">
        <v>65</v>
      </c>
      <c r="F4">
        <v>9</v>
      </c>
      <c r="G4">
        <v>10</v>
      </c>
    </row>
    <row r="5" spans="1:7" x14ac:dyDescent="0.25">
      <c r="A5">
        <v>4</v>
      </c>
      <c r="B5">
        <v>2558.4162499557501</v>
      </c>
      <c r="C5">
        <v>20658.416249955699</v>
      </c>
      <c r="D5">
        <v>8.9615384615384597E-2</v>
      </c>
      <c r="E5">
        <v>65</v>
      </c>
      <c r="F5">
        <v>8</v>
      </c>
      <c r="G5">
        <v>4.75</v>
      </c>
    </row>
    <row r="6" spans="1:7" x14ac:dyDescent="0.25">
      <c r="A6">
        <v>5</v>
      </c>
      <c r="B6">
        <v>-4946.6230901090203</v>
      </c>
      <c r="C6">
        <v>10853.3769098909</v>
      </c>
      <c r="D6">
        <v>0.115384615384615</v>
      </c>
      <c r="E6">
        <v>0</v>
      </c>
      <c r="F6">
        <v>2</v>
      </c>
      <c r="G6">
        <v>0</v>
      </c>
    </row>
    <row r="7" spans="1:7" x14ac:dyDescent="0.25">
      <c r="A7">
        <v>6</v>
      </c>
      <c r="B7">
        <v>-13909.123090109</v>
      </c>
      <c r="C7">
        <v>3690.8769098909702</v>
      </c>
      <c r="D7">
        <v>9.6153846153846104E-2</v>
      </c>
      <c r="E7">
        <v>0</v>
      </c>
      <c r="F7">
        <v>2</v>
      </c>
      <c r="G7">
        <v>0</v>
      </c>
    </row>
    <row r="8" spans="1:7" x14ac:dyDescent="0.25">
      <c r="A8">
        <v>7</v>
      </c>
      <c r="B8">
        <v>-10144.123090109</v>
      </c>
      <c r="C8">
        <v>6555.8769098909697</v>
      </c>
      <c r="D8">
        <v>9.6153846153846104E-2</v>
      </c>
      <c r="E8">
        <v>0</v>
      </c>
      <c r="F8">
        <v>2</v>
      </c>
      <c r="G8">
        <v>0</v>
      </c>
    </row>
    <row r="9" spans="1:7" x14ac:dyDescent="0.25">
      <c r="A9">
        <v>8</v>
      </c>
      <c r="B9">
        <v>7950.0512384392096</v>
      </c>
      <c r="C9">
        <v>24250.051238439199</v>
      </c>
      <c r="D9">
        <v>9.9893162393162399E-2</v>
      </c>
      <c r="E9">
        <v>0</v>
      </c>
      <c r="F9">
        <v>6</v>
      </c>
      <c r="G9">
        <v>2.1666666666666599</v>
      </c>
    </row>
    <row r="10" spans="1:7" x14ac:dyDescent="0.25">
      <c r="A10">
        <v>9</v>
      </c>
      <c r="B10">
        <v>-7088.5083236965402</v>
      </c>
      <c r="C10">
        <v>12311.4916763034</v>
      </c>
      <c r="D10">
        <v>0.134615384615384</v>
      </c>
      <c r="E10">
        <v>10</v>
      </c>
      <c r="F10">
        <v>2</v>
      </c>
      <c r="G10">
        <v>0</v>
      </c>
    </row>
    <row r="11" spans="1:7" x14ac:dyDescent="0.25">
      <c r="A11">
        <v>10</v>
      </c>
      <c r="B11">
        <v>2038.34690086519</v>
      </c>
      <c r="C11">
        <v>17738.346900865101</v>
      </c>
      <c r="D11">
        <v>8.7179487179487106E-2</v>
      </c>
      <c r="E11">
        <v>19</v>
      </c>
      <c r="F11">
        <v>7</v>
      </c>
      <c r="G11">
        <v>2.71428571428571</v>
      </c>
    </row>
    <row r="12" spans="1:7" x14ac:dyDescent="0.25">
      <c r="A12">
        <v>11</v>
      </c>
      <c r="B12">
        <v>-12663.713814324399</v>
      </c>
      <c r="C12">
        <v>5036.2861856755999</v>
      </c>
      <c r="D12">
        <v>7.7777777777777696E-2</v>
      </c>
      <c r="E12">
        <v>34</v>
      </c>
      <c r="F12">
        <v>5</v>
      </c>
      <c r="G12">
        <v>8.8000000000000007</v>
      </c>
    </row>
    <row r="13" spans="1:7" x14ac:dyDescent="0.25">
      <c r="A13">
        <v>12</v>
      </c>
      <c r="B13">
        <v>-13948.663843460001</v>
      </c>
      <c r="C13">
        <v>3151.33615653997</v>
      </c>
      <c r="D13">
        <v>7.4999999999999997E-2</v>
      </c>
      <c r="E13">
        <v>40</v>
      </c>
      <c r="F13">
        <v>3</v>
      </c>
      <c r="G13">
        <v>0</v>
      </c>
    </row>
    <row r="14" spans="1:7" x14ac:dyDescent="0.25">
      <c r="A14">
        <v>13</v>
      </c>
      <c r="B14">
        <v>-9911.6230901090203</v>
      </c>
      <c r="C14">
        <v>7988.3769098909697</v>
      </c>
      <c r="D14">
        <v>0.115384615384615</v>
      </c>
      <c r="E14">
        <v>0</v>
      </c>
      <c r="F14">
        <v>2</v>
      </c>
      <c r="G14">
        <v>0</v>
      </c>
    </row>
    <row r="15" spans="1:7" x14ac:dyDescent="0.25">
      <c r="A15">
        <v>14</v>
      </c>
      <c r="B15">
        <v>-9311.6230901090203</v>
      </c>
      <c r="C15">
        <v>7988.3769098909697</v>
      </c>
      <c r="D15">
        <v>0.115384615384615</v>
      </c>
      <c r="E15">
        <v>0</v>
      </c>
      <c r="F15">
        <v>2</v>
      </c>
      <c r="G15">
        <v>0</v>
      </c>
    </row>
    <row r="16" spans="1:7" x14ac:dyDescent="0.25">
      <c r="A16">
        <v>15</v>
      </c>
      <c r="B16">
        <v>-4032.98345101412</v>
      </c>
      <c r="C16">
        <v>11007.016548985801</v>
      </c>
      <c r="D16">
        <v>0.123974358974358</v>
      </c>
      <c r="E16">
        <v>122</v>
      </c>
      <c r="F16">
        <v>11</v>
      </c>
      <c r="G16">
        <v>10.818181818181801</v>
      </c>
    </row>
    <row r="17" spans="1:7" x14ac:dyDescent="0.25">
      <c r="A17">
        <v>16</v>
      </c>
      <c r="B17">
        <v>1626.1185067567201</v>
      </c>
      <c r="C17">
        <v>18606.118506756698</v>
      </c>
      <c r="D17">
        <v>0.11068376068376</v>
      </c>
      <c r="E17">
        <v>16</v>
      </c>
      <c r="F17">
        <v>6</v>
      </c>
      <c r="G17">
        <v>4.1666666666666599</v>
      </c>
    </row>
    <row r="18" spans="1:7" x14ac:dyDescent="0.25">
      <c r="A18">
        <v>17</v>
      </c>
      <c r="B18">
        <v>-10544.623312831</v>
      </c>
      <c r="C18">
        <v>7015.3766871689804</v>
      </c>
      <c r="D18">
        <v>0.112820512820512</v>
      </c>
      <c r="E18">
        <v>0</v>
      </c>
      <c r="F18">
        <v>2</v>
      </c>
      <c r="G18">
        <v>0</v>
      </c>
    </row>
    <row r="19" spans="1:7" x14ac:dyDescent="0.25">
      <c r="A19">
        <v>18</v>
      </c>
      <c r="B19">
        <v>-5422.7571898576298</v>
      </c>
      <c r="C19">
        <v>11277.242810142299</v>
      </c>
      <c r="D19">
        <v>8.5256410256410203E-2</v>
      </c>
      <c r="E19">
        <v>13</v>
      </c>
      <c r="F19">
        <v>3</v>
      </c>
      <c r="G19">
        <v>0.66666666666666596</v>
      </c>
    </row>
    <row r="20" spans="1:7" x14ac:dyDescent="0.25">
      <c r="A20">
        <v>19</v>
      </c>
      <c r="B20">
        <v>-673.83392661793903</v>
      </c>
      <c r="C20">
        <v>14526.166073382001</v>
      </c>
      <c r="D20">
        <v>0.12809829059829</v>
      </c>
      <c r="E20">
        <v>49</v>
      </c>
      <c r="F20">
        <v>7</v>
      </c>
      <c r="G20">
        <v>6.8571428571428497</v>
      </c>
    </row>
    <row r="21" spans="1:7" x14ac:dyDescent="0.25">
      <c r="A21">
        <v>20</v>
      </c>
      <c r="B21">
        <v>-9011.6230901090203</v>
      </c>
      <c r="C21">
        <v>7988.3769098909697</v>
      </c>
      <c r="D21">
        <v>0.115384615384615</v>
      </c>
      <c r="E21">
        <v>0</v>
      </c>
      <c r="F21">
        <v>2</v>
      </c>
      <c r="G21">
        <v>0</v>
      </c>
    </row>
    <row r="23" spans="1:7" x14ac:dyDescent="0.25">
      <c r="B23">
        <f>AVERAGE(B2:B21)</f>
        <v>-6071.2173495354727</v>
      </c>
      <c r="C23">
        <f t="shared" ref="C23:G23" si="0">AVERAGE(C2:C21)</f>
        <v>10797.782650464489</v>
      </c>
      <c r="D23">
        <f t="shared" si="0"/>
        <v>0.10674252136752108</v>
      </c>
      <c r="E23">
        <f t="shared" si="0"/>
        <v>24.25</v>
      </c>
      <c r="F23">
        <f t="shared" si="0"/>
        <v>4.4000000000000004</v>
      </c>
      <c r="G23">
        <f t="shared" si="0"/>
        <v>3.2136471861471838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8284E-66B0-4C32-8AA0-7CCAD7281E19}">
  <dimension ref="A1"/>
  <sheetViews>
    <sheetView tabSelected="1" workbookViewId="0">
      <selection activeCell="E25" sqref="E25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Standard</vt:lpstr>
      <vt:lpstr>Lower Turnaround</vt:lpstr>
      <vt:lpstr>Lower Operational 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Møller Hansen</dc:creator>
  <cp:lastModifiedBy>Jonas Møller Hansen</cp:lastModifiedBy>
  <dcterms:created xsi:type="dcterms:W3CDTF">2026-06-22T06:13:52Z</dcterms:created>
  <dcterms:modified xsi:type="dcterms:W3CDTF">2026-06-22T09:25:45Z</dcterms:modified>
</cp:coreProperties>
</file>
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Heuristic\Experiments\Results\"/>
    </mc:Choice>
  </mc:AlternateContent>
  <xr:revisionPtr revIDLastSave="0" documentId="13_ncr:1_{63402D59-CDFB-4650-927D-5E8B7813FC1D}" xr6:coauthVersionLast="47" xr6:coauthVersionMax="47" xr10:uidLastSave="{00000000-0000-0000-0000-000000000000}"/>
  <bookViews>
    <workbookView xWindow="10" yWindow="10" windowWidth="19180" windowHeight="11260" firstSheet="2" activeTab="10" xr2:uid="{3A184787-BD53-4D94-B163-FCD1CFFF27BA}"/>
  </bookViews>
  <sheets>
    <sheet name="Base case" sheetId="1" r:id="rId1"/>
    <sheet name="Sc. 1" sheetId="2" r:id="rId2"/>
    <sheet name="Sc. 2" sheetId="3" r:id="rId3"/>
    <sheet name="Sc. 3" sheetId="4" r:id="rId4"/>
    <sheet name="Sc 4" sheetId="9" r:id="rId5"/>
    <sheet name="Sc. 5 NEW" sheetId="6" r:id="rId6"/>
    <sheet name="Sc. 6 NEW" sheetId="5" r:id="rId7"/>
    <sheet name="Sc. 7" sheetId="10" r:id="rId8"/>
    <sheet name="Sc. 8" sheetId="7" r:id="rId9"/>
    <sheet name="SC. 9" sheetId="11" r:id="rId10"/>
    <sheet name="sc. 10" sheetId="8" r:id="rId11"/>
  </sheets>
  <definedNames>
    <definedName name="_xlchart.v1.0" hidden="1">'Base case'!$B$1</definedName>
    <definedName name="_xlchart.v1.1" hidden="1">'Base case'!$B$2:$B$21</definedName>
    <definedName name="_xlchart.v1.2" hidden="1">'Base case'!$C$1</definedName>
    <definedName name="_xlchart.v1.3" hidden="1">'Base case'!$C$2:$C$21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11" l="1"/>
  <c r="F24" i="11"/>
  <c r="E24" i="11"/>
  <c r="D24" i="11"/>
  <c r="C24" i="11"/>
  <c r="B24" i="11"/>
  <c r="G23" i="11"/>
  <c r="F23" i="11"/>
  <c r="E23" i="11"/>
  <c r="D23" i="11"/>
  <c r="C23" i="11"/>
  <c r="B23" i="11"/>
  <c r="G24" i="10"/>
  <c r="F24" i="10"/>
  <c r="E24" i="10"/>
  <c r="D24" i="10"/>
  <c r="C24" i="10"/>
  <c r="B24" i="10"/>
  <c r="G23" i="10"/>
  <c r="F23" i="10"/>
  <c r="E23" i="10"/>
  <c r="D23" i="10"/>
  <c r="C23" i="10"/>
  <c r="B23" i="10"/>
  <c r="G24" i="9"/>
  <c r="F24" i="9"/>
  <c r="E24" i="9"/>
  <c r="D24" i="9"/>
  <c r="C24" i="9"/>
  <c r="B24" i="9"/>
  <c r="G23" i="9"/>
  <c r="F23" i="9"/>
  <c r="E23" i="9"/>
  <c r="D23" i="9"/>
  <c r="C23" i="9"/>
  <c r="B23" i="9"/>
  <c r="G24" i="8"/>
  <c r="F24" i="8"/>
  <c r="E24" i="8"/>
  <c r="D24" i="8"/>
  <c r="C24" i="8"/>
  <c r="B24" i="8"/>
  <c r="G23" i="8"/>
  <c r="F23" i="8"/>
  <c r="E23" i="8"/>
  <c r="D23" i="8"/>
  <c r="C23" i="8"/>
  <c r="B23" i="8"/>
  <c r="B23" i="7" l="1"/>
  <c r="G24" i="7"/>
  <c r="F24" i="7"/>
  <c r="E24" i="7"/>
  <c r="D24" i="7"/>
  <c r="C24" i="7"/>
  <c r="B24" i="7"/>
  <c r="G23" i="7"/>
  <c r="F23" i="7"/>
  <c r="E23" i="7"/>
  <c r="D23" i="7"/>
  <c r="C23" i="7"/>
  <c r="G24" i="6"/>
  <c r="F24" i="6"/>
  <c r="E24" i="6"/>
  <c r="D24" i="6"/>
  <c r="C24" i="6"/>
  <c r="B24" i="6"/>
  <c r="G23" i="6"/>
  <c r="F23" i="6"/>
  <c r="E23" i="6"/>
  <c r="D23" i="6"/>
  <c r="C23" i="6"/>
  <c r="B23" i="6"/>
  <c r="G24" i="5"/>
  <c r="F24" i="5"/>
  <c r="E24" i="5"/>
  <c r="D24" i="5"/>
  <c r="C24" i="5"/>
  <c r="B24" i="5"/>
  <c r="G23" i="5"/>
  <c r="F23" i="5"/>
  <c r="E23" i="5"/>
  <c r="D23" i="5"/>
  <c r="C23" i="5"/>
  <c r="B23" i="5"/>
  <c r="C24" i="3" l="1"/>
  <c r="D24" i="3"/>
  <c r="E24" i="3"/>
  <c r="F24" i="3"/>
  <c r="G24" i="3"/>
  <c r="B24" i="3"/>
  <c r="G24" i="4" l="1"/>
  <c r="F24" i="4"/>
  <c r="E24" i="4"/>
  <c r="D24" i="4"/>
  <c r="C24" i="4"/>
  <c r="B24" i="4"/>
  <c r="G23" i="4"/>
  <c r="F23" i="4"/>
  <c r="E23" i="4"/>
  <c r="D23" i="4"/>
  <c r="C23" i="4"/>
  <c r="B23" i="4"/>
  <c r="C24" i="2"/>
  <c r="D24" i="2"/>
  <c r="E24" i="2"/>
  <c r="F24" i="2"/>
  <c r="G24" i="2"/>
  <c r="B24" i="2"/>
  <c r="C24" i="1" l="1"/>
  <c r="D24" i="1"/>
  <c r="E24" i="1"/>
  <c r="F24" i="1"/>
  <c r="G24" i="1"/>
  <c r="B24" i="1"/>
  <c r="C23" i="2" l="1"/>
  <c r="D23" i="2"/>
  <c r="E23" i="2"/>
  <c r="F23" i="2"/>
  <c r="G23" i="2"/>
  <c r="B23" i="2"/>
  <c r="G23" i="3" l="1"/>
  <c r="F23" i="3"/>
  <c r="E23" i="3"/>
  <c r="D23" i="3"/>
  <c r="C23" i="3"/>
  <c r="B23" i="3"/>
  <c r="C23" i="1" l="1"/>
  <c r="D23" i="1"/>
  <c r="E23" i="1"/>
  <c r="F23" i="1"/>
  <c r="G23" i="1"/>
  <c r="B23" i="1"/>
</calcChain>
</file>

<file path=xl/sharedStrings.xml><?xml version="1.0" encoding="utf-8"?>
<sst xmlns="http://schemas.openxmlformats.org/spreadsheetml/2006/main" count="2729" uniqueCount="158">
  <si>
    <t>run</t>
  </si>
  <si>
    <t>best_obj</t>
  </si>
  <si>
    <t>best_profit</t>
  </si>
  <si>
    <t>aircraft_utilization</t>
  </si>
  <si>
    <t>deadhead_time</t>
  </si>
  <si>
    <t>passenger_demand_served</t>
  </si>
  <si>
    <t>average_passenger_waiting_time</t>
  </si>
  <si>
    <t>-----------------</t>
  </si>
  <si>
    <t>----------------------</t>
  </si>
  <si>
    <t>Schedule</t>
  </si>
  <si>
    <t>========</t>
  </si>
  <si>
    <t>------------------------------------------------------------------------</t>
  </si>
  <si>
    <t>Best</t>
  </si>
  <si>
    <t>solution</t>
  </si>
  <si>
    <t>(higest</t>
  </si>
  <si>
    <t>profit):</t>
  </si>
  <si>
    <t>Objective</t>
  </si>
  <si>
    <t>Value:</t>
  </si>
  <si>
    <t>Profit</t>
  </si>
  <si>
    <t>Chromosome</t>
  </si>
  <si>
    <t>table:</t>
  </si>
  <si>
    <t>eVTOL1:</t>
  </si>
  <si>
    <t>|</t>
  </si>
  <si>
    <t>eVTOL2:</t>
  </si>
  <si>
    <t>eVTOL3:</t>
  </si>
  <si>
    <t>eVTOL4:</t>
  </si>
  <si>
    <t>eVTOL5:</t>
  </si>
  <si>
    <t>eVTOL6:</t>
  </si>
  <si>
    <t>eVTOL7:</t>
  </si>
  <si>
    <t>eVTOL8:</t>
  </si>
  <si>
    <t>eVTOL9:</t>
  </si>
  <si>
    <t>eVTOL10:</t>
  </si>
  <si>
    <t>eVTOL11:</t>
  </si>
  <si>
    <t>eVTOL12:</t>
  </si>
  <si>
    <t>eVTOL13:</t>
  </si>
  <si>
    <t>eVTOL14:</t>
  </si>
  <si>
    <t>eVTOL15:</t>
  </si>
  <si>
    <t>eVTOL16:</t>
  </si>
  <si>
    <t>eVTOL17:</t>
  </si>
  <si>
    <t>eVTOL18:</t>
  </si>
  <si>
    <t>eVTOL19:</t>
  </si>
  <si>
    <t>eVTOL20:</t>
  </si>
  <si>
    <t>Passenger</t>
  </si>
  <si>
    <t>assignments:</t>
  </si>
  <si>
    <t>Group</t>
  </si>
  <si>
    <t>plane</t>
  </si>
  <si>
    <t>legs</t>
  </si>
  <si>
    <t>[1]</t>
  </si>
  <si>
    <t>-&gt;</t>
  </si>
  <si>
    <t>q=4</t>
  </si>
  <si>
    <t>[2]</t>
  </si>
  <si>
    <t>q=3</t>
  </si>
  <si>
    <t>dt=108.0</t>
  </si>
  <si>
    <t>q=2</t>
  </si>
  <si>
    <t>Plane</t>
  </si>
  <si>
    <t>Leg</t>
  </si>
  <si>
    <t>From</t>
  </si>
  <si>
    <t>To</t>
  </si>
  <si>
    <t>Dep</t>
  </si>
  <si>
    <t>Arr</t>
  </si>
  <si>
    <t>Dur</t>
  </si>
  <si>
    <t>CapLeft</t>
  </si>
  <si>
    <t>Total</t>
  </si>
  <si>
    <t>legs:</t>
  </si>
  <si>
    <t>dt=92.0</t>
  </si>
  <si>
    <t>dt=722.0</t>
  </si>
  <si>
    <t>dt=153.0</t>
  </si>
  <si>
    <t>dt=611.0</t>
  </si>
  <si>
    <t>dt=148.0</t>
  </si>
  <si>
    <t>dt=216.0</t>
  </si>
  <si>
    <t>q=1</t>
  </si>
  <si>
    <t>dt=106.0</t>
  </si>
  <si>
    <t>dt=463.0</t>
  </si>
  <si>
    <t>[3]</t>
  </si>
  <si>
    <t>dt=478.0</t>
  </si>
  <si>
    <t>[4]</t>
  </si>
  <si>
    <t>dt=554.0</t>
  </si>
  <si>
    <t>[5]</t>
  </si>
  <si>
    <t>dt=678.0</t>
  </si>
  <si>
    <t>dt=79.0</t>
  </si>
  <si>
    <t>dt=379.0</t>
  </si>
  <si>
    <t>dt=618.0</t>
  </si>
  <si>
    <t>dt=88.0</t>
  </si>
  <si>
    <t>dt=145.0</t>
  </si>
  <si>
    <t>Average</t>
  </si>
  <si>
    <t>STD</t>
  </si>
  <si>
    <t>dt=201.0</t>
  </si>
  <si>
    <t>dt=28.0</t>
  </si>
  <si>
    <t>dt=690.0</t>
  </si>
  <si>
    <t>dt=503.0</t>
  </si>
  <si>
    <t>dt=494.0</t>
  </si>
  <si>
    <t>dt=681.0</t>
  </si>
  <si>
    <t>average</t>
  </si>
  <si>
    <t>std</t>
  </si>
  <si>
    <t>dt=42.0</t>
  </si>
  <si>
    <t>dt=642.0</t>
  </si>
  <si>
    <t>dt=741.0</t>
  </si>
  <si>
    <t>dt=122.0</t>
  </si>
  <si>
    <t>dt=586.0</t>
  </si>
  <si>
    <t>dt=470.0</t>
  </si>
  <si>
    <t>dt=607.0</t>
  </si>
  <si>
    <t>avg</t>
  </si>
  <si>
    <t>dt=186.0</t>
  </si>
  <si>
    <t>dt=128.0</t>
  </si>
  <si>
    <t>dt=420.0</t>
  </si>
  <si>
    <t>dt=705.0</t>
  </si>
  <si>
    <t>dt=476.0</t>
  </si>
  <si>
    <t>dt=194.0</t>
  </si>
  <si>
    <t>dt=540.0</t>
  </si>
  <si>
    <t>dt=181.0</t>
  </si>
  <si>
    <t>dt=639.0</t>
  </si>
  <si>
    <t>dt=62.0</t>
  </si>
  <si>
    <t>dt=167.0</t>
  </si>
  <si>
    <t>dt=81.0</t>
  </si>
  <si>
    <t>dt=566.0</t>
  </si>
  <si>
    <t>dt=655.0</t>
  </si>
  <si>
    <t>dt=701.0</t>
  </si>
  <si>
    <t>dt=68.0</t>
  </si>
  <si>
    <t>dt=617.0</t>
  </si>
  <si>
    <t>dt=632.0</t>
  </si>
  <si>
    <t>dt=169.0</t>
  </si>
  <si>
    <t>dt=749.0</t>
  </si>
  <si>
    <t>dt=584.0</t>
  </si>
  <si>
    <t>dt=464.0</t>
  </si>
  <si>
    <t>dt=481.0</t>
  </si>
  <si>
    <t>dt=619.0</t>
  </si>
  <si>
    <t>dt=535.0</t>
  </si>
  <si>
    <t>dt=304.0</t>
  </si>
  <si>
    <t>dt=429.0</t>
  </si>
  <si>
    <t>dt=113.0</t>
  </si>
  <si>
    <t>dt=474.0</t>
  </si>
  <si>
    <t>dt=168.0</t>
  </si>
  <si>
    <t>dt=450.0</t>
  </si>
  <si>
    <t>dt=52.0</t>
  </si>
  <si>
    <t>dt=613.0</t>
  </si>
  <si>
    <t>dt=126.0</t>
  </si>
  <si>
    <t>dt=489.0</t>
  </si>
  <si>
    <t>dt=693.0</t>
  </si>
  <si>
    <t>dt=164.0</t>
  </si>
  <si>
    <t>dt=502.0</t>
  </si>
  <si>
    <t>dt=661.0</t>
  </si>
  <si>
    <t>dt=174.0</t>
  </si>
  <si>
    <t>dt=97.0</t>
  </si>
  <si>
    <t>dt=127.0</t>
  </si>
  <si>
    <t>dt=358.0</t>
  </si>
  <si>
    <t>dt=415.0</t>
  </si>
  <si>
    <t>dt=533.0</t>
  </si>
  <si>
    <t>dt=159.0</t>
  </si>
  <si>
    <t>dt=44.0</t>
  </si>
  <si>
    <t>dt=439.0</t>
  </si>
  <si>
    <t>dt=93.0</t>
  </si>
  <si>
    <t>[3</t>
  </si>
  <si>
    <t>4]</t>
  </si>
  <si>
    <t>dt=114.0</t>
  </si>
  <si>
    <t>dt=488.0</t>
  </si>
  <si>
    <t>dt=182.0</t>
  </si>
  <si>
    <t>dt=54.0</t>
  </si>
  <si>
    <t>dt=104.0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</si>
</sst>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00000000-2B24-4FAE-9F76-E43359A7051A}">
          <cx:tx>
            <cx:txData>
              <cx:f>_xlchart.v1.0</cx:f>
              <cx:v>best_obj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B24-4FAE-9F76-E43359A7051A}">
          <cx:tx>
            <cx:txData>
              <cx:f>_xlchart.v1.2</cx:f>
              <cx:v>best_profit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31</xdr:row>
      <xdr:rowOff>139700</xdr:rowOff>
    </xdr:from>
    <xdr:to>
      <xdr:col>5</xdr:col>
      <xdr:colOff>1352550</xdr:colOff>
      <xdr:row>49</xdr:row>
      <xdr:rowOff>74612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D9FBFFB-BC1C-5E90-E934-AE123A9F59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" y="5848350"/>
              <a:ext cx="5670550" cy="32496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F44A-2695-490E-A9CD-62E25082CEF5}">
  <dimension ref="A1:AB73"/>
  <sheetViews>
    <sheetView topLeftCell="G5" workbookViewId="0">
      <selection activeCell="K15" sqref="K15"/>
    </sheetView>
  </sheetViews>
  <sheetFormatPr defaultRowHeight="14.5" x14ac:dyDescent="0.35"/>
  <cols>
    <col min="2" max="2" width="12.7265625" bestFit="1" customWidth="1"/>
    <col min="3" max="3" width="12" bestFit="1" customWidth="1"/>
    <col min="4" max="4" width="17.453125" bestFit="1" customWidth="1"/>
    <col min="5" max="5" width="14.7265625" bestFit="1" customWidth="1"/>
    <col min="6" max="6" width="25.26953125" bestFit="1" customWidth="1"/>
    <col min="7" max="7" width="30.54296875" bestFit="1" customWidth="1"/>
  </cols>
  <sheetData>
    <row r="1" spans="1:2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1" x14ac:dyDescent="0.35">
      <c r="A2" s="1">
        <v>1</v>
      </c>
      <c r="B2">
        <v>882.00568292830201</v>
      </c>
      <c r="C2">
        <v>18142.005682928298</v>
      </c>
      <c r="D2">
        <v>0.124358974358974</v>
      </c>
      <c r="E2">
        <v>16</v>
      </c>
      <c r="F2">
        <v>3</v>
      </c>
      <c r="G2">
        <v>2.3333333333333299</v>
      </c>
    </row>
    <row r="3" spans="1:21" x14ac:dyDescent="0.35">
      <c r="A3" s="1">
        <v>2</v>
      </c>
      <c r="B3">
        <v>-7533.09961834561</v>
      </c>
      <c r="C3">
        <v>8666.9003816543809</v>
      </c>
      <c r="D3">
        <v>0.13547008547008499</v>
      </c>
      <c r="E3">
        <v>57</v>
      </c>
      <c r="F3">
        <v>5</v>
      </c>
      <c r="G3">
        <v>5.4</v>
      </c>
    </row>
    <row r="4" spans="1:21" x14ac:dyDescent="0.35">
      <c r="A4" s="1">
        <v>3</v>
      </c>
      <c r="B4">
        <v>-8895.3730901090203</v>
      </c>
      <c r="C4">
        <v>8704.6269098909706</v>
      </c>
      <c r="D4">
        <v>0.144230769230769</v>
      </c>
      <c r="E4">
        <v>0</v>
      </c>
      <c r="F4">
        <v>2</v>
      </c>
      <c r="G4">
        <v>0</v>
      </c>
    </row>
    <row r="5" spans="1:21" x14ac:dyDescent="0.35">
      <c r="A5" s="1">
        <v>4</v>
      </c>
      <c r="B5">
        <v>-11967.2583236965</v>
      </c>
      <c r="C5">
        <v>4432.7416763034498</v>
      </c>
      <c r="D5">
        <v>0.18269230769230699</v>
      </c>
      <c r="E5">
        <v>10</v>
      </c>
      <c r="F5">
        <v>2</v>
      </c>
      <c r="G5">
        <v>3</v>
      </c>
    </row>
    <row r="6" spans="1:21" x14ac:dyDescent="0.35">
      <c r="A6" s="1">
        <v>5</v>
      </c>
      <c r="B6">
        <v>-554.42880021302699</v>
      </c>
      <c r="C6">
        <v>15845.5711997869</v>
      </c>
      <c r="D6">
        <v>0.131410256410256</v>
      </c>
      <c r="E6">
        <v>25</v>
      </c>
      <c r="F6">
        <v>3</v>
      </c>
      <c r="G6">
        <v>0.33333333333333298</v>
      </c>
    </row>
    <row r="7" spans="1:21" x14ac:dyDescent="0.35">
      <c r="A7" s="1">
        <v>6</v>
      </c>
      <c r="B7">
        <v>-8458.6376799110294</v>
      </c>
      <c r="C7">
        <v>7941.3623200889597</v>
      </c>
      <c r="D7">
        <v>0.11752136752136701</v>
      </c>
      <c r="E7">
        <v>35</v>
      </c>
      <c r="F7">
        <v>5</v>
      </c>
      <c r="G7">
        <v>5.2</v>
      </c>
    </row>
    <row r="8" spans="1:21" x14ac:dyDescent="0.35">
      <c r="A8" s="1">
        <v>7</v>
      </c>
      <c r="B8">
        <v>-8430.6301590337298</v>
      </c>
      <c r="C8">
        <v>7669.3698409662602</v>
      </c>
      <c r="D8">
        <v>0.114743589743589</v>
      </c>
      <c r="E8">
        <v>58</v>
      </c>
      <c r="F8">
        <v>5</v>
      </c>
      <c r="G8">
        <v>3.4</v>
      </c>
      <c r="M8" t="s">
        <v>12</v>
      </c>
      <c r="N8" t="s">
        <v>13</v>
      </c>
      <c r="O8" t="s">
        <v>14</v>
      </c>
      <c r="P8" t="s">
        <v>15</v>
      </c>
    </row>
    <row r="9" spans="1:21" x14ac:dyDescent="0.35">
      <c r="A9" s="1">
        <v>8</v>
      </c>
      <c r="B9">
        <v>-5846.6230901090203</v>
      </c>
      <c r="C9">
        <v>10853.3769098909</v>
      </c>
      <c r="D9">
        <v>0.15384615384615299</v>
      </c>
      <c r="E9">
        <v>0</v>
      </c>
      <c r="F9">
        <v>2</v>
      </c>
      <c r="G9">
        <v>0</v>
      </c>
      <c r="M9" t="s">
        <v>16</v>
      </c>
      <c r="N9" t="s">
        <v>17</v>
      </c>
      <c r="O9">
        <v>8532.52668654833</v>
      </c>
    </row>
    <row r="10" spans="1:21" x14ac:dyDescent="0.35">
      <c r="A10" s="1">
        <v>9</v>
      </c>
      <c r="B10">
        <v>69.5541267630433</v>
      </c>
      <c r="C10">
        <v>14689.554126763</v>
      </c>
      <c r="D10">
        <v>0.13935897435897401</v>
      </c>
      <c r="E10">
        <v>93</v>
      </c>
      <c r="F10">
        <v>7</v>
      </c>
      <c r="G10">
        <v>5.1428571428571397</v>
      </c>
      <c r="M10" t="s">
        <v>18</v>
      </c>
      <c r="N10" t="s">
        <v>17</v>
      </c>
      <c r="O10">
        <v>25432.526686548299</v>
      </c>
    </row>
    <row r="11" spans="1:21" x14ac:dyDescent="0.35">
      <c r="A11" s="1">
        <v>10</v>
      </c>
      <c r="B11">
        <v>-5984.14692217216</v>
      </c>
      <c r="C11">
        <v>9415.8530778278291</v>
      </c>
      <c r="D11">
        <v>0.12419871794871699</v>
      </c>
      <c r="E11">
        <v>50</v>
      </c>
      <c r="F11">
        <v>6</v>
      </c>
      <c r="G11">
        <v>6.6666666666666599</v>
      </c>
      <c r="M11" t="s">
        <v>19</v>
      </c>
      <c r="N11" t="s">
        <v>20</v>
      </c>
    </row>
    <row r="12" spans="1:21" x14ac:dyDescent="0.35">
      <c r="A12" s="1">
        <v>11</v>
      </c>
      <c r="B12">
        <v>8532.52668654833</v>
      </c>
      <c r="C12">
        <v>25432.526686548299</v>
      </c>
      <c r="D12">
        <v>0.12355769230769199</v>
      </c>
      <c r="E12">
        <v>14</v>
      </c>
      <c r="F12">
        <v>7</v>
      </c>
      <c r="G12">
        <v>0.14285714285714199</v>
      </c>
      <c r="M12" t="s">
        <v>7</v>
      </c>
    </row>
    <row r="13" spans="1:21" x14ac:dyDescent="0.35">
      <c r="A13" s="1">
        <v>12</v>
      </c>
      <c r="B13">
        <v>-2573.1687178673801</v>
      </c>
      <c r="C13">
        <v>13426.8312821326</v>
      </c>
      <c r="D13">
        <v>0.118589743589743</v>
      </c>
      <c r="E13">
        <v>16</v>
      </c>
      <c r="F13">
        <v>5</v>
      </c>
      <c r="G13">
        <v>3.2</v>
      </c>
      <c r="M13" t="s">
        <v>21</v>
      </c>
      <c r="N13">
        <v>0</v>
      </c>
      <c r="O13" t="s">
        <v>22</v>
      </c>
      <c r="P13">
        <v>1</v>
      </c>
      <c r="Q13" t="s">
        <v>22</v>
      </c>
    </row>
    <row r="14" spans="1:21" x14ac:dyDescent="0.35">
      <c r="A14" s="1">
        <v>13</v>
      </c>
      <c r="B14">
        <v>-846.87713426424295</v>
      </c>
      <c r="C14">
        <v>15253.122865735701</v>
      </c>
      <c r="D14">
        <v>0.110897435897435</v>
      </c>
      <c r="E14">
        <v>50</v>
      </c>
      <c r="F14">
        <v>5</v>
      </c>
      <c r="G14">
        <v>6.8</v>
      </c>
      <c r="M14" t="s">
        <v>23</v>
      </c>
      <c r="N14">
        <v>0</v>
      </c>
      <c r="O14" t="s">
        <v>22</v>
      </c>
      <c r="P14">
        <v>1</v>
      </c>
      <c r="Q14" t="s">
        <v>22</v>
      </c>
    </row>
    <row r="15" spans="1:21" x14ac:dyDescent="0.35">
      <c r="A15" s="1">
        <v>14</v>
      </c>
      <c r="B15">
        <v>-14803.9757567784</v>
      </c>
      <c r="C15">
        <v>1896.0242432215</v>
      </c>
      <c r="D15">
        <v>0.130128205128205</v>
      </c>
      <c r="E15">
        <v>43</v>
      </c>
      <c r="F15">
        <v>3</v>
      </c>
      <c r="G15">
        <v>11</v>
      </c>
      <c r="M15" t="s">
        <v>24</v>
      </c>
      <c r="N15">
        <v>2</v>
      </c>
      <c r="O15" t="s">
        <v>22</v>
      </c>
      <c r="P15">
        <v>2</v>
      </c>
      <c r="Q15">
        <v>3</v>
      </c>
      <c r="R15">
        <v>2</v>
      </c>
      <c r="S15" t="s">
        <v>22</v>
      </c>
      <c r="T15">
        <v>153</v>
      </c>
      <c r="U15">
        <v>431</v>
      </c>
    </row>
    <row r="16" spans="1:21" x14ac:dyDescent="0.35">
      <c r="A16" s="1">
        <v>15</v>
      </c>
      <c r="B16">
        <v>2425.9958629309399</v>
      </c>
      <c r="C16">
        <v>18625.9958629309</v>
      </c>
      <c r="D16">
        <v>0.13215811965811899</v>
      </c>
      <c r="E16">
        <v>19</v>
      </c>
      <c r="F16">
        <v>5</v>
      </c>
      <c r="G16">
        <v>5</v>
      </c>
      <c r="M16" t="s">
        <v>25</v>
      </c>
      <c r="N16">
        <v>0</v>
      </c>
      <c r="O16" t="s">
        <v>22</v>
      </c>
      <c r="P16">
        <v>2</v>
      </c>
      <c r="Q16" t="s">
        <v>22</v>
      </c>
    </row>
    <row r="17" spans="1:21" x14ac:dyDescent="0.35">
      <c r="A17" s="1">
        <v>16</v>
      </c>
      <c r="B17">
        <v>-9612.7537923132004</v>
      </c>
      <c r="C17">
        <v>8287.2462076867996</v>
      </c>
      <c r="D17">
        <v>0.124358974358974</v>
      </c>
      <c r="E17">
        <v>14</v>
      </c>
      <c r="F17">
        <v>3</v>
      </c>
      <c r="G17">
        <v>1</v>
      </c>
      <c r="M17" t="s">
        <v>26</v>
      </c>
      <c r="N17">
        <v>2</v>
      </c>
      <c r="O17" t="s">
        <v>22</v>
      </c>
      <c r="P17">
        <v>3</v>
      </c>
      <c r="Q17">
        <v>5</v>
      </c>
      <c r="R17">
        <v>3</v>
      </c>
      <c r="S17" t="s">
        <v>22</v>
      </c>
      <c r="T17">
        <v>106</v>
      </c>
      <c r="U17">
        <v>30</v>
      </c>
    </row>
    <row r="18" spans="1:21" x14ac:dyDescent="0.35">
      <c r="A18" s="1">
        <v>17</v>
      </c>
      <c r="B18">
        <v>-9925.8093128338096</v>
      </c>
      <c r="C18">
        <v>8234.1906871661795</v>
      </c>
      <c r="D18">
        <v>0.13701923076923</v>
      </c>
      <c r="E18">
        <v>23</v>
      </c>
      <c r="F18">
        <v>3</v>
      </c>
      <c r="G18">
        <v>0.66666666666666596</v>
      </c>
      <c r="M18" t="s">
        <v>27</v>
      </c>
      <c r="N18">
        <v>0</v>
      </c>
      <c r="O18" t="s">
        <v>22</v>
      </c>
      <c r="P18">
        <v>3</v>
      </c>
      <c r="Q18" t="s">
        <v>22</v>
      </c>
    </row>
    <row r="19" spans="1:21" x14ac:dyDescent="0.35">
      <c r="A19" s="1">
        <v>18</v>
      </c>
      <c r="B19">
        <v>-5347.7101446090601</v>
      </c>
      <c r="C19">
        <v>12552.2898553909</v>
      </c>
      <c r="D19">
        <v>0.132051282051282</v>
      </c>
      <c r="E19">
        <v>26</v>
      </c>
      <c r="F19">
        <v>3</v>
      </c>
      <c r="G19">
        <v>0</v>
      </c>
      <c r="M19" t="s">
        <v>28</v>
      </c>
      <c r="N19">
        <v>0</v>
      </c>
      <c r="O19" t="s">
        <v>22</v>
      </c>
      <c r="P19">
        <v>4</v>
      </c>
      <c r="Q19" t="s">
        <v>22</v>
      </c>
    </row>
    <row r="20" spans="1:21" x14ac:dyDescent="0.35">
      <c r="A20" s="1">
        <v>19</v>
      </c>
      <c r="B20">
        <v>-11834.359614403</v>
      </c>
      <c r="C20">
        <v>6365.6403855969402</v>
      </c>
      <c r="D20">
        <v>0.119551282051282</v>
      </c>
      <c r="E20">
        <v>48</v>
      </c>
      <c r="F20">
        <v>6</v>
      </c>
      <c r="G20">
        <v>8.1666666666666607</v>
      </c>
      <c r="M20" t="s">
        <v>29</v>
      </c>
      <c r="N20">
        <v>0</v>
      </c>
      <c r="O20" t="s">
        <v>22</v>
      </c>
      <c r="P20">
        <v>4</v>
      </c>
      <c r="Q20" t="s">
        <v>22</v>
      </c>
    </row>
    <row r="21" spans="1:21" x14ac:dyDescent="0.35">
      <c r="A21" s="1">
        <v>20</v>
      </c>
      <c r="B21">
        <v>-3190.9083698080699</v>
      </c>
      <c r="C21">
        <v>14069.091630191901</v>
      </c>
      <c r="D21">
        <v>0.149786324786324</v>
      </c>
      <c r="E21">
        <v>35</v>
      </c>
      <c r="F21">
        <v>6</v>
      </c>
      <c r="G21">
        <v>4.8333333333333304</v>
      </c>
      <c r="M21" t="s">
        <v>30</v>
      </c>
      <c r="N21">
        <v>0</v>
      </c>
      <c r="O21" t="s">
        <v>22</v>
      </c>
      <c r="P21">
        <v>5</v>
      </c>
      <c r="Q21" t="s">
        <v>22</v>
      </c>
    </row>
    <row r="22" spans="1:21" x14ac:dyDescent="0.35">
      <c r="M22" t="s">
        <v>31</v>
      </c>
      <c r="N22">
        <v>2</v>
      </c>
      <c r="O22" t="s">
        <v>22</v>
      </c>
      <c r="P22">
        <v>5</v>
      </c>
      <c r="Q22">
        <v>6</v>
      </c>
      <c r="R22">
        <v>5</v>
      </c>
      <c r="S22" t="s">
        <v>22</v>
      </c>
      <c r="T22">
        <v>216</v>
      </c>
      <c r="U22">
        <v>30</v>
      </c>
    </row>
    <row r="23" spans="1:21" x14ac:dyDescent="0.35">
      <c r="A23" t="s">
        <v>84</v>
      </c>
      <c r="B23">
        <f>AVERAGE(B2:B21)</f>
        <v>-5194.7839083648332</v>
      </c>
      <c r="C23">
        <f t="shared" ref="C23:G23" si="0">AVERAGE(C2:C21)</f>
        <v>11525.216091635133</v>
      </c>
      <c r="D23">
        <f t="shared" si="0"/>
        <v>0.13229647435897382</v>
      </c>
      <c r="E23">
        <f t="shared" si="0"/>
        <v>31.6</v>
      </c>
      <c r="F23">
        <f t="shared" si="0"/>
        <v>4.3</v>
      </c>
      <c r="G23">
        <f t="shared" si="0"/>
        <v>3.6142857142857125</v>
      </c>
      <c r="M23" t="s">
        <v>32</v>
      </c>
      <c r="N23">
        <v>0</v>
      </c>
      <c r="O23" t="s">
        <v>22</v>
      </c>
      <c r="P23">
        <v>6</v>
      </c>
      <c r="Q23" t="s">
        <v>22</v>
      </c>
    </row>
    <row r="24" spans="1:21" x14ac:dyDescent="0.35">
      <c r="A24" t="s">
        <v>85</v>
      </c>
      <c r="B24">
        <f>_xlfn.STDEV.S(B2:B21)</f>
        <v>5749.2628346274678</v>
      </c>
      <c r="C24">
        <f t="shared" ref="C24:G24" si="1">_xlfn.STDEV.S(C2:C21)</f>
        <v>5529.9826775233105</v>
      </c>
      <c r="D24">
        <f t="shared" si="1"/>
        <v>1.6452260616045433E-2</v>
      </c>
      <c r="E24">
        <f t="shared" si="1"/>
        <v>23.043208840875668</v>
      </c>
      <c r="F24">
        <f t="shared" si="1"/>
        <v>1.6575187543592473</v>
      </c>
      <c r="G24">
        <f t="shared" si="1"/>
        <v>3.1283774444616035</v>
      </c>
      <c r="M24" t="s">
        <v>33</v>
      </c>
      <c r="N24">
        <v>0</v>
      </c>
      <c r="O24" t="s">
        <v>22</v>
      </c>
      <c r="P24">
        <v>6</v>
      </c>
      <c r="Q24" t="s">
        <v>22</v>
      </c>
    </row>
    <row r="25" spans="1:21" x14ac:dyDescent="0.35">
      <c r="M25" t="s">
        <v>34</v>
      </c>
      <c r="N25">
        <v>0</v>
      </c>
      <c r="O25" t="s">
        <v>22</v>
      </c>
      <c r="P25">
        <v>7</v>
      </c>
      <c r="Q25" t="s">
        <v>22</v>
      </c>
    </row>
    <row r="26" spans="1:21" x14ac:dyDescent="0.35">
      <c r="M26" t="s">
        <v>35</v>
      </c>
      <c r="N26">
        <v>0</v>
      </c>
      <c r="O26" t="s">
        <v>22</v>
      </c>
      <c r="P26">
        <v>7</v>
      </c>
      <c r="Q26" t="s">
        <v>22</v>
      </c>
    </row>
    <row r="27" spans="1:21" x14ac:dyDescent="0.35">
      <c r="M27" t="s">
        <v>36</v>
      </c>
      <c r="N27">
        <v>0</v>
      </c>
      <c r="O27" t="s">
        <v>22</v>
      </c>
      <c r="P27">
        <v>8</v>
      </c>
      <c r="Q27" t="s">
        <v>22</v>
      </c>
    </row>
    <row r="28" spans="1:21" x14ac:dyDescent="0.35">
      <c r="M28" t="s">
        <v>37</v>
      </c>
      <c r="N28">
        <v>0</v>
      </c>
      <c r="O28" t="s">
        <v>22</v>
      </c>
      <c r="P28">
        <v>8</v>
      </c>
      <c r="Q28" t="s">
        <v>22</v>
      </c>
    </row>
    <row r="29" spans="1:21" x14ac:dyDescent="0.35">
      <c r="M29" t="s">
        <v>38</v>
      </c>
      <c r="N29">
        <v>0</v>
      </c>
      <c r="O29" t="s">
        <v>22</v>
      </c>
      <c r="P29">
        <v>9</v>
      </c>
      <c r="Q29" t="s">
        <v>22</v>
      </c>
    </row>
    <row r="30" spans="1:21" x14ac:dyDescent="0.35">
      <c r="M30" t="s">
        <v>39</v>
      </c>
      <c r="N30">
        <v>0</v>
      </c>
      <c r="O30" t="s">
        <v>22</v>
      </c>
      <c r="P30">
        <v>9</v>
      </c>
      <c r="Q30" t="s">
        <v>22</v>
      </c>
    </row>
    <row r="31" spans="1:21" x14ac:dyDescent="0.35">
      <c r="M31" t="s">
        <v>40</v>
      </c>
      <c r="N31">
        <v>0</v>
      </c>
      <c r="O31" t="s">
        <v>22</v>
      </c>
      <c r="P31">
        <v>10</v>
      </c>
      <c r="Q31" t="s">
        <v>22</v>
      </c>
    </row>
    <row r="32" spans="1:21" x14ac:dyDescent="0.35">
      <c r="M32" t="s">
        <v>41</v>
      </c>
      <c r="N32">
        <v>2</v>
      </c>
      <c r="O32" t="s">
        <v>22</v>
      </c>
      <c r="P32">
        <v>10</v>
      </c>
      <c r="Q32">
        <v>4</v>
      </c>
      <c r="R32">
        <v>1</v>
      </c>
      <c r="S32" t="s">
        <v>22</v>
      </c>
      <c r="T32">
        <v>92</v>
      </c>
      <c r="U32">
        <v>605</v>
      </c>
    </row>
    <row r="33" spans="13:28" x14ac:dyDescent="0.35">
      <c r="M33" t="s">
        <v>42</v>
      </c>
      <c r="N33" t="s">
        <v>43</v>
      </c>
    </row>
    <row r="34" spans="13:28" x14ac:dyDescent="0.35">
      <c r="M34" t="s">
        <v>8</v>
      </c>
    </row>
    <row r="35" spans="13:28" x14ac:dyDescent="0.35">
      <c r="M35" t="s">
        <v>44</v>
      </c>
      <c r="N35">
        <v>2</v>
      </c>
      <c r="O35" t="s">
        <v>22</v>
      </c>
      <c r="P35" t="s">
        <v>45</v>
      </c>
      <c r="Q35">
        <v>20</v>
      </c>
      <c r="R35" t="s">
        <v>22</v>
      </c>
      <c r="S35" t="s">
        <v>46</v>
      </c>
      <c r="T35" t="s">
        <v>47</v>
      </c>
      <c r="U35" t="s">
        <v>22</v>
      </c>
      <c r="V35">
        <v>10</v>
      </c>
      <c r="W35" t="s">
        <v>48</v>
      </c>
      <c r="X35">
        <v>4</v>
      </c>
      <c r="Y35" t="s">
        <v>22</v>
      </c>
      <c r="Z35" t="s">
        <v>49</v>
      </c>
      <c r="AA35" t="s">
        <v>22</v>
      </c>
      <c r="AB35" t="s">
        <v>64</v>
      </c>
    </row>
    <row r="36" spans="13:28" x14ac:dyDescent="0.35">
      <c r="M36" t="s">
        <v>44</v>
      </c>
      <c r="N36">
        <v>60</v>
      </c>
      <c r="O36" t="s">
        <v>22</v>
      </c>
      <c r="P36" t="s">
        <v>45</v>
      </c>
      <c r="Q36">
        <v>20</v>
      </c>
      <c r="R36" t="s">
        <v>22</v>
      </c>
      <c r="S36" t="s">
        <v>46</v>
      </c>
      <c r="T36" t="s">
        <v>50</v>
      </c>
      <c r="U36" t="s">
        <v>22</v>
      </c>
      <c r="V36">
        <v>4</v>
      </c>
      <c r="W36" t="s">
        <v>48</v>
      </c>
      <c r="X36">
        <v>1</v>
      </c>
      <c r="Y36" t="s">
        <v>22</v>
      </c>
      <c r="Z36" t="s">
        <v>49</v>
      </c>
      <c r="AA36" t="s">
        <v>22</v>
      </c>
      <c r="AB36" t="s">
        <v>65</v>
      </c>
    </row>
    <row r="37" spans="13:28" x14ac:dyDescent="0.35">
      <c r="M37" t="s">
        <v>44</v>
      </c>
      <c r="N37">
        <v>21</v>
      </c>
      <c r="O37" t="s">
        <v>22</v>
      </c>
      <c r="P37" t="s">
        <v>45</v>
      </c>
      <c r="Q37">
        <v>3</v>
      </c>
      <c r="R37" t="s">
        <v>22</v>
      </c>
      <c r="S37" t="s">
        <v>46</v>
      </c>
      <c r="T37" t="s">
        <v>47</v>
      </c>
      <c r="U37" t="s">
        <v>22</v>
      </c>
      <c r="V37">
        <v>2</v>
      </c>
      <c r="W37" t="s">
        <v>48</v>
      </c>
      <c r="X37">
        <v>3</v>
      </c>
      <c r="Y37" t="s">
        <v>22</v>
      </c>
      <c r="Z37" t="s">
        <v>49</v>
      </c>
      <c r="AA37" t="s">
        <v>22</v>
      </c>
      <c r="AB37" t="s">
        <v>66</v>
      </c>
    </row>
    <row r="38" spans="13:28" x14ac:dyDescent="0.35">
      <c r="M38" t="s">
        <v>44</v>
      </c>
      <c r="N38">
        <v>52</v>
      </c>
      <c r="O38" t="s">
        <v>22</v>
      </c>
      <c r="P38" t="s">
        <v>45</v>
      </c>
      <c r="Q38">
        <v>3</v>
      </c>
      <c r="R38" t="s">
        <v>22</v>
      </c>
      <c r="S38" t="s">
        <v>46</v>
      </c>
      <c r="T38" t="s">
        <v>50</v>
      </c>
      <c r="U38" t="s">
        <v>22</v>
      </c>
      <c r="V38">
        <v>3</v>
      </c>
      <c r="W38" t="s">
        <v>48</v>
      </c>
      <c r="X38">
        <v>2</v>
      </c>
      <c r="Y38" t="s">
        <v>22</v>
      </c>
      <c r="Z38" t="s">
        <v>49</v>
      </c>
      <c r="AA38" t="s">
        <v>22</v>
      </c>
      <c r="AB38" t="s">
        <v>67</v>
      </c>
    </row>
    <row r="39" spans="13:28" x14ac:dyDescent="0.35">
      <c r="M39" t="s">
        <v>44</v>
      </c>
      <c r="N39">
        <v>18</v>
      </c>
      <c r="O39" t="s">
        <v>22</v>
      </c>
      <c r="P39" t="s">
        <v>45</v>
      </c>
      <c r="Q39">
        <v>5</v>
      </c>
      <c r="R39" t="s">
        <v>22</v>
      </c>
      <c r="S39" t="s">
        <v>46</v>
      </c>
      <c r="T39" t="s">
        <v>50</v>
      </c>
      <c r="U39" t="s">
        <v>22</v>
      </c>
      <c r="V39">
        <v>5</v>
      </c>
      <c r="W39" t="s">
        <v>48</v>
      </c>
      <c r="X39">
        <v>3</v>
      </c>
      <c r="Y39" t="s">
        <v>22</v>
      </c>
      <c r="Z39" t="s">
        <v>51</v>
      </c>
      <c r="AA39" t="s">
        <v>22</v>
      </c>
      <c r="AB39" t="s">
        <v>68</v>
      </c>
    </row>
    <row r="40" spans="13:28" x14ac:dyDescent="0.35">
      <c r="M40" t="s">
        <v>44</v>
      </c>
      <c r="N40">
        <v>27</v>
      </c>
      <c r="O40" t="s">
        <v>22</v>
      </c>
      <c r="P40" t="s">
        <v>45</v>
      </c>
      <c r="Q40">
        <v>10</v>
      </c>
      <c r="R40" t="s">
        <v>22</v>
      </c>
      <c r="S40" t="s">
        <v>46</v>
      </c>
      <c r="T40" t="s">
        <v>47</v>
      </c>
      <c r="U40" t="s">
        <v>22</v>
      </c>
      <c r="V40">
        <v>5</v>
      </c>
      <c r="W40" t="s">
        <v>48</v>
      </c>
      <c r="X40">
        <v>6</v>
      </c>
      <c r="Y40" t="s">
        <v>22</v>
      </c>
      <c r="Z40" t="s">
        <v>51</v>
      </c>
      <c r="AA40" t="s">
        <v>22</v>
      </c>
      <c r="AB40" t="s">
        <v>69</v>
      </c>
    </row>
    <row r="41" spans="13:28" x14ac:dyDescent="0.35">
      <c r="M41" t="s">
        <v>44</v>
      </c>
      <c r="N41">
        <v>7</v>
      </c>
      <c r="O41" t="s">
        <v>22</v>
      </c>
      <c r="P41" t="s">
        <v>45</v>
      </c>
      <c r="Q41">
        <v>5</v>
      </c>
      <c r="R41" t="s">
        <v>22</v>
      </c>
      <c r="S41" t="s">
        <v>46</v>
      </c>
      <c r="T41" t="s">
        <v>47</v>
      </c>
      <c r="U41" t="s">
        <v>22</v>
      </c>
      <c r="V41">
        <v>3</v>
      </c>
      <c r="W41" t="s">
        <v>48</v>
      </c>
      <c r="X41">
        <v>5</v>
      </c>
      <c r="Y41" t="s">
        <v>22</v>
      </c>
      <c r="Z41" t="s">
        <v>70</v>
      </c>
      <c r="AA41" t="s">
        <v>22</v>
      </c>
      <c r="AB41" t="s">
        <v>71</v>
      </c>
    </row>
    <row r="42" spans="13:28" x14ac:dyDescent="0.35">
      <c r="M42" t="s">
        <v>9</v>
      </c>
    </row>
    <row r="43" spans="13:28" x14ac:dyDescent="0.35">
      <c r="M43" t="s">
        <v>10</v>
      </c>
    </row>
    <row r="45" spans="13:28" x14ac:dyDescent="0.35">
      <c r="M45" t="s">
        <v>54</v>
      </c>
      <c r="N45">
        <v>3</v>
      </c>
    </row>
    <row r="46" spans="13:28" x14ac:dyDescent="0.35">
      <c r="M46" t="s">
        <v>11</v>
      </c>
    </row>
    <row r="47" spans="13:28" x14ac:dyDescent="0.35">
      <c r="M47" t="s">
        <v>55</v>
      </c>
      <c r="N47" t="s">
        <v>56</v>
      </c>
      <c r="O47" t="s">
        <v>57</v>
      </c>
      <c r="P47" t="s">
        <v>58</v>
      </c>
      <c r="Q47" t="s">
        <v>59</v>
      </c>
      <c r="R47" t="s">
        <v>60</v>
      </c>
      <c r="S47" t="s">
        <v>61</v>
      </c>
    </row>
    <row r="48" spans="13:28" x14ac:dyDescent="0.35">
      <c r="M48" t="s">
        <v>11</v>
      </c>
    </row>
    <row r="49" spans="13:19" x14ac:dyDescent="0.35">
      <c r="M49">
        <v>1</v>
      </c>
      <c r="N49">
        <v>2</v>
      </c>
      <c r="O49">
        <v>3</v>
      </c>
      <c r="P49">
        <v>153</v>
      </c>
      <c r="Q49">
        <v>180</v>
      </c>
      <c r="R49">
        <v>27</v>
      </c>
      <c r="S49">
        <v>0</v>
      </c>
    </row>
    <row r="50" spans="13:19" x14ac:dyDescent="0.35">
      <c r="M50">
        <v>2</v>
      </c>
      <c r="N50">
        <v>3</v>
      </c>
      <c r="O50">
        <v>2</v>
      </c>
      <c r="P50">
        <v>611</v>
      </c>
      <c r="Q50">
        <v>638</v>
      </c>
      <c r="R50">
        <v>27</v>
      </c>
      <c r="S50">
        <v>0</v>
      </c>
    </row>
    <row r="52" spans="13:19" x14ac:dyDescent="0.35">
      <c r="M52" t="s">
        <v>54</v>
      </c>
      <c r="N52">
        <v>5</v>
      </c>
    </row>
    <row r="53" spans="13:19" x14ac:dyDescent="0.35">
      <c r="M53" t="s">
        <v>11</v>
      </c>
    </row>
    <row r="54" spans="13:19" x14ac:dyDescent="0.35">
      <c r="M54" t="s">
        <v>55</v>
      </c>
      <c r="N54" t="s">
        <v>56</v>
      </c>
      <c r="O54" t="s">
        <v>57</v>
      </c>
      <c r="P54" t="s">
        <v>58</v>
      </c>
      <c r="Q54" t="s">
        <v>59</v>
      </c>
      <c r="R54" t="s">
        <v>60</v>
      </c>
      <c r="S54" t="s">
        <v>61</v>
      </c>
    </row>
    <row r="55" spans="13:19" x14ac:dyDescent="0.35">
      <c r="M55" t="s">
        <v>11</v>
      </c>
    </row>
    <row r="56" spans="13:19" x14ac:dyDescent="0.35">
      <c r="M56">
        <v>1</v>
      </c>
      <c r="N56">
        <v>3</v>
      </c>
      <c r="O56">
        <v>5</v>
      </c>
      <c r="P56">
        <v>106</v>
      </c>
      <c r="Q56">
        <v>119</v>
      </c>
      <c r="R56">
        <v>13</v>
      </c>
      <c r="S56">
        <v>0</v>
      </c>
    </row>
    <row r="57" spans="13:19" x14ac:dyDescent="0.35">
      <c r="M57">
        <v>2</v>
      </c>
      <c r="N57">
        <v>5</v>
      </c>
      <c r="O57">
        <v>3</v>
      </c>
      <c r="P57">
        <v>149</v>
      </c>
      <c r="Q57">
        <v>162</v>
      </c>
      <c r="R57">
        <v>13</v>
      </c>
      <c r="S57">
        <v>0</v>
      </c>
    </row>
    <row r="59" spans="13:19" x14ac:dyDescent="0.35">
      <c r="M59" t="s">
        <v>54</v>
      </c>
      <c r="N59">
        <v>10</v>
      </c>
    </row>
    <row r="60" spans="13:19" x14ac:dyDescent="0.35">
      <c r="M60" t="s">
        <v>11</v>
      </c>
    </row>
    <row r="61" spans="13:19" x14ac:dyDescent="0.35">
      <c r="M61" t="s">
        <v>55</v>
      </c>
      <c r="N61" t="s">
        <v>56</v>
      </c>
      <c r="O61" t="s">
        <v>57</v>
      </c>
      <c r="P61" t="s">
        <v>58</v>
      </c>
      <c r="Q61" t="s">
        <v>59</v>
      </c>
      <c r="R61" t="s">
        <v>60</v>
      </c>
      <c r="S61" t="s">
        <v>61</v>
      </c>
    </row>
    <row r="62" spans="13:19" x14ac:dyDescent="0.35">
      <c r="M62" t="s">
        <v>11</v>
      </c>
    </row>
    <row r="63" spans="13:19" x14ac:dyDescent="0.35">
      <c r="M63">
        <v>1</v>
      </c>
      <c r="N63">
        <v>5</v>
      </c>
      <c r="O63">
        <v>6</v>
      </c>
      <c r="P63">
        <v>216</v>
      </c>
      <c r="Q63">
        <v>230</v>
      </c>
      <c r="R63">
        <v>14</v>
      </c>
      <c r="S63">
        <v>1</v>
      </c>
    </row>
    <row r="64" spans="13:19" x14ac:dyDescent="0.35">
      <c r="M64">
        <v>2</v>
      </c>
      <c r="N64">
        <v>6</v>
      </c>
      <c r="O64">
        <v>5</v>
      </c>
      <c r="P64">
        <v>260</v>
      </c>
      <c r="Q64">
        <v>274</v>
      </c>
      <c r="R64">
        <v>14</v>
      </c>
      <c r="S64">
        <v>4</v>
      </c>
    </row>
    <row r="66" spans="13:19" x14ac:dyDescent="0.35">
      <c r="M66" t="s">
        <v>54</v>
      </c>
      <c r="N66">
        <v>20</v>
      </c>
    </row>
    <row r="67" spans="13:19" x14ac:dyDescent="0.35">
      <c r="M67" t="s">
        <v>11</v>
      </c>
    </row>
    <row r="68" spans="13:19" x14ac:dyDescent="0.35">
      <c r="M68" t="s">
        <v>55</v>
      </c>
      <c r="N68" t="s">
        <v>56</v>
      </c>
      <c r="O68" t="s">
        <v>57</v>
      </c>
      <c r="P68" t="s">
        <v>58</v>
      </c>
      <c r="Q68" t="s">
        <v>59</v>
      </c>
      <c r="R68" t="s">
        <v>60</v>
      </c>
      <c r="S68" t="s">
        <v>61</v>
      </c>
    </row>
    <row r="69" spans="13:19" x14ac:dyDescent="0.35">
      <c r="M69" t="s">
        <v>11</v>
      </c>
    </row>
    <row r="70" spans="13:19" x14ac:dyDescent="0.35">
      <c r="M70">
        <v>1</v>
      </c>
      <c r="N70">
        <v>10</v>
      </c>
      <c r="O70">
        <v>4</v>
      </c>
      <c r="P70">
        <v>92</v>
      </c>
      <c r="Q70">
        <v>117</v>
      </c>
      <c r="R70">
        <v>25</v>
      </c>
      <c r="S70">
        <v>0</v>
      </c>
    </row>
    <row r="71" spans="13:19" x14ac:dyDescent="0.35">
      <c r="M71">
        <v>2</v>
      </c>
      <c r="N71">
        <v>4</v>
      </c>
      <c r="O71">
        <v>1</v>
      </c>
      <c r="P71">
        <v>722</v>
      </c>
      <c r="Q71">
        <v>752</v>
      </c>
      <c r="R71">
        <v>30</v>
      </c>
      <c r="S71">
        <v>0</v>
      </c>
    </row>
    <row r="73" spans="13:19" x14ac:dyDescent="0.35">
      <c r="M73" t="s">
        <v>62</v>
      </c>
      <c r="N73" t="s">
        <v>63</v>
      </c>
      <c r="O73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5D5E-8BC0-4865-A1D5-4E1CA8D7487B}">
  <dimension ref="A1:AA70"/>
  <sheetViews>
    <sheetView topLeftCell="D1" workbookViewId="0">
      <selection activeCell="H13" sqref="H13"/>
    </sheetView>
  </sheetViews>
  <sheetFormatPr defaultRowHeight="14.5" x14ac:dyDescent="0.35"/>
  <cols>
    <col min="2" max="2" width="12.7265625" bestFit="1" customWidth="1"/>
    <col min="3" max="3" width="12" bestFit="1" customWidth="1"/>
    <col min="4" max="4" width="17.453125" bestFit="1" customWidth="1"/>
    <col min="5" max="5" width="14.7265625" bestFit="1" customWidth="1"/>
    <col min="6" max="6" width="25.26953125" bestFit="1" customWidth="1"/>
    <col min="7" max="7" width="30.54296875" bestFit="1" customWidth="1"/>
  </cols>
  <sheetData>
    <row r="1" spans="1:22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2" x14ac:dyDescent="0.35">
      <c r="A2">
        <v>1</v>
      </c>
      <c r="B2">
        <v>-13583.5083236965</v>
      </c>
      <c r="C2">
        <v>3716.4916763034498</v>
      </c>
      <c r="D2">
        <v>0.134615384615384</v>
      </c>
      <c r="E2">
        <v>10</v>
      </c>
      <c r="F2">
        <v>2</v>
      </c>
      <c r="G2">
        <v>10</v>
      </c>
    </row>
    <row r="3" spans="1:22" x14ac:dyDescent="0.35">
      <c r="A3">
        <v>2</v>
      </c>
      <c r="B3">
        <v>-11444.6271628509</v>
      </c>
      <c r="C3">
        <v>4955.3728371490697</v>
      </c>
      <c r="D3">
        <v>9.4230769230769201E-2</v>
      </c>
      <c r="E3">
        <v>18</v>
      </c>
      <c r="F3">
        <v>4</v>
      </c>
      <c r="G3">
        <v>5</v>
      </c>
    </row>
    <row r="4" spans="1:22" x14ac:dyDescent="0.35">
      <c r="A4">
        <v>3</v>
      </c>
      <c r="B4">
        <v>-7946.6230901090203</v>
      </c>
      <c r="C4">
        <v>10853.3769098909</v>
      </c>
      <c r="D4">
        <v>0.115384615384615</v>
      </c>
      <c r="E4">
        <v>0</v>
      </c>
      <c r="F4">
        <v>2</v>
      </c>
      <c r="G4">
        <v>0</v>
      </c>
    </row>
    <row r="5" spans="1:22" x14ac:dyDescent="0.35">
      <c r="A5">
        <v>4</v>
      </c>
      <c r="B5">
        <v>-3679.6607610163701</v>
      </c>
      <c r="C5">
        <v>13920.339238983601</v>
      </c>
      <c r="D5">
        <v>8.7179487179487106E-2</v>
      </c>
      <c r="E5">
        <v>16</v>
      </c>
      <c r="F5">
        <v>3</v>
      </c>
      <c r="G5">
        <v>1</v>
      </c>
    </row>
    <row r="6" spans="1:22" x14ac:dyDescent="0.35">
      <c r="A6">
        <v>5</v>
      </c>
      <c r="B6">
        <v>-7190.1441602743898</v>
      </c>
      <c r="C6">
        <v>9169.8558397256002</v>
      </c>
      <c r="D6">
        <v>8.0982905982905903E-2</v>
      </c>
      <c r="E6">
        <v>45</v>
      </c>
      <c r="F6">
        <v>5</v>
      </c>
      <c r="G6">
        <v>6.6</v>
      </c>
      <c r="L6" t="s">
        <v>12</v>
      </c>
      <c r="M6" t="s">
        <v>13</v>
      </c>
      <c r="N6" t="s">
        <v>14</v>
      </c>
      <c r="O6" t="s">
        <v>15</v>
      </c>
    </row>
    <row r="7" spans="1:22" x14ac:dyDescent="0.35">
      <c r="A7">
        <v>6</v>
      </c>
      <c r="B7">
        <v>904.238103318919</v>
      </c>
      <c r="C7">
        <v>17264.238103318901</v>
      </c>
      <c r="D7">
        <v>8.0341880341880306E-2</v>
      </c>
      <c r="E7">
        <v>131</v>
      </c>
      <c r="F7">
        <v>7</v>
      </c>
      <c r="G7">
        <v>2.2857142857142798</v>
      </c>
      <c r="L7" t="s">
        <v>16</v>
      </c>
      <c r="M7" t="s">
        <v>17</v>
      </c>
      <c r="N7">
        <v>16020.058251127901</v>
      </c>
    </row>
    <row r="8" spans="1:22" x14ac:dyDescent="0.35">
      <c r="A8">
        <v>7</v>
      </c>
      <c r="B8">
        <v>272.49902685715199</v>
      </c>
      <c r="C8">
        <v>15872.4990268571</v>
      </c>
      <c r="D8">
        <v>9.8317307692307607E-2</v>
      </c>
      <c r="E8">
        <v>59</v>
      </c>
      <c r="F8">
        <v>8</v>
      </c>
      <c r="G8">
        <v>9.25</v>
      </c>
      <c r="L8" t="s">
        <v>18</v>
      </c>
      <c r="M8" t="s">
        <v>17</v>
      </c>
      <c r="N8">
        <v>31820.058251127899</v>
      </c>
    </row>
    <row r="9" spans="1:22" x14ac:dyDescent="0.35">
      <c r="A9">
        <v>8</v>
      </c>
      <c r="B9">
        <v>-220.76766014201701</v>
      </c>
      <c r="C9">
        <v>17519.232339857899</v>
      </c>
      <c r="D9">
        <v>0.106837606837606</v>
      </c>
      <c r="E9">
        <v>38</v>
      </c>
      <c r="F9">
        <v>6</v>
      </c>
      <c r="G9">
        <v>9</v>
      </c>
      <c r="L9" t="s">
        <v>19</v>
      </c>
      <c r="M9" t="s">
        <v>20</v>
      </c>
    </row>
    <row r="10" spans="1:22" x14ac:dyDescent="0.35">
      <c r="A10">
        <v>9</v>
      </c>
      <c r="B10">
        <v>-3980.0640412787202</v>
      </c>
      <c r="C10">
        <v>12459.9359587212</v>
      </c>
      <c r="D10">
        <v>8.8888888888888795E-2</v>
      </c>
      <c r="E10">
        <v>29</v>
      </c>
      <c r="F10">
        <v>5</v>
      </c>
      <c r="G10">
        <v>9.8000000000000007</v>
      </c>
      <c r="L10" t="s">
        <v>7</v>
      </c>
    </row>
    <row r="11" spans="1:22" x14ac:dyDescent="0.35">
      <c r="A11">
        <v>10</v>
      </c>
      <c r="B11">
        <v>-14292.043829517501</v>
      </c>
      <c r="C11">
        <v>2107.95617048241</v>
      </c>
      <c r="D11">
        <v>0.17884615384615299</v>
      </c>
      <c r="E11">
        <v>29</v>
      </c>
      <c r="F11">
        <v>3</v>
      </c>
      <c r="G11">
        <v>2</v>
      </c>
      <c r="L11" t="s">
        <v>21</v>
      </c>
      <c r="M11">
        <v>3</v>
      </c>
      <c r="N11" t="s">
        <v>22</v>
      </c>
      <c r="O11">
        <v>1</v>
      </c>
      <c r="P11">
        <v>10</v>
      </c>
      <c r="Q11">
        <v>3</v>
      </c>
      <c r="R11">
        <v>1</v>
      </c>
      <c r="S11" t="s">
        <v>22</v>
      </c>
      <c r="T11">
        <v>105</v>
      </c>
      <c r="U11">
        <v>507</v>
      </c>
      <c r="V11">
        <v>15</v>
      </c>
    </row>
    <row r="12" spans="1:22" x14ac:dyDescent="0.35">
      <c r="A12">
        <v>11</v>
      </c>
      <c r="B12">
        <v>-1750.84860933757</v>
      </c>
      <c r="C12">
        <v>15949.1513906624</v>
      </c>
      <c r="D12">
        <v>0.15512820512820499</v>
      </c>
      <c r="E12">
        <v>15</v>
      </c>
      <c r="F12">
        <v>6</v>
      </c>
      <c r="G12">
        <v>10.5</v>
      </c>
      <c r="L12" t="s">
        <v>23</v>
      </c>
      <c r="M12">
        <v>0</v>
      </c>
      <c r="N12" t="s">
        <v>22</v>
      </c>
      <c r="O12">
        <v>1</v>
      </c>
      <c r="P12" t="s">
        <v>22</v>
      </c>
    </row>
    <row r="13" spans="1:22" x14ac:dyDescent="0.35">
      <c r="A13">
        <v>12</v>
      </c>
      <c r="B13">
        <v>-3764.7095278472498</v>
      </c>
      <c r="C13">
        <v>12175.290472152699</v>
      </c>
      <c r="D13">
        <v>0.10384615384615301</v>
      </c>
      <c r="E13">
        <v>36</v>
      </c>
      <c r="F13">
        <v>5</v>
      </c>
      <c r="G13">
        <v>10.8</v>
      </c>
      <c r="L13" t="s">
        <v>24</v>
      </c>
      <c r="M13">
        <v>0</v>
      </c>
      <c r="N13" t="s">
        <v>22</v>
      </c>
      <c r="O13">
        <v>2</v>
      </c>
      <c r="P13" t="s">
        <v>22</v>
      </c>
    </row>
    <row r="14" spans="1:22" x14ac:dyDescent="0.35">
      <c r="A14">
        <v>13</v>
      </c>
      <c r="B14">
        <v>-8711.6230901090203</v>
      </c>
      <c r="C14">
        <v>7988.3769098909697</v>
      </c>
      <c r="D14">
        <v>0.115384615384615</v>
      </c>
      <c r="E14">
        <v>0</v>
      </c>
      <c r="F14">
        <v>2</v>
      </c>
      <c r="G14">
        <v>0</v>
      </c>
      <c r="L14" t="s">
        <v>25</v>
      </c>
      <c r="M14">
        <v>0</v>
      </c>
      <c r="N14" t="s">
        <v>22</v>
      </c>
      <c r="O14">
        <v>2</v>
      </c>
      <c r="P14" t="s">
        <v>22</v>
      </c>
    </row>
    <row r="15" spans="1:22" x14ac:dyDescent="0.35">
      <c r="A15">
        <v>14</v>
      </c>
      <c r="B15">
        <v>-804.34575846492498</v>
      </c>
      <c r="C15">
        <v>15595.654241535</v>
      </c>
      <c r="D15">
        <v>7.0512820512820498E-2</v>
      </c>
      <c r="E15">
        <v>72</v>
      </c>
      <c r="F15">
        <v>5</v>
      </c>
      <c r="G15">
        <v>4.4000000000000004</v>
      </c>
      <c r="L15" t="s">
        <v>26</v>
      </c>
      <c r="M15">
        <v>3</v>
      </c>
      <c r="N15" t="s">
        <v>22</v>
      </c>
      <c r="O15">
        <v>3</v>
      </c>
      <c r="P15">
        <v>4</v>
      </c>
      <c r="Q15">
        <v>1</v>
      </c>
      <c r="R15">
        <v>3</v>
      </c>
      <c r="S15" t="s">
        <v>22</v>
      </c>
      <c r="T15">
        <v>395</v>
      </c>
      <c r="U15">
        <v>66</v>
      </c>
      <c r="V15">
        <v>15</v>
      </c>
    </row>
    <row r="16" spans="1:22" x14ac:dyDescent="0.35">
      <c r="A16">
        <v>15</v>
      </c>
      <c r="B16">
        <v>-6246.0742942597299</v>
      </c>
      <c r="C16">
        <v>9693.9257057402592</v>
      </c>
      <c r="D16">
        <v>9.3482905982905901E-2</v>
      </c>
      <c r="E16">
        <v>32</v>
      </c>
      <c r="F16">
        <v>5</v>
      </c>
      <c r="G16">
        <v>3.8</v>
      </c>
      <c r="L16" t="s">
        <v>27</v>
      </c>
      <c r="M16">
        <v>0</v>
      </c>
      <c r="N16" t="s">
        <v>22</v>
      </c>
      <c r="O16">
        <v>3</v>
      </c>
      <c r="P16" t="s">
        <v>22</v>
      </c>
    </row>
    <row r="17" spans="1:26" x14ac:dyDescent="0.35">
      <c r="A17">
        <v>16</v>
      </c>
      <c r="B17">
        <v>-10117.837615832699</v>
      </c>
      <c r="C17">
        <v>5582.1623841672799</v>
      </c>
      <c r="D17">
        <v>9.1794871794871793E-2</v>
      </c>
      <c r="E17">
        <v>93</v>
      </c>
      <c r="F17">
        <v>9</v>
      </c>
      <c r="G17">
        <v>5.4444444444444402</v>
      </c>
      <c r="L17" t="s">
        <v>28</v>
      </c>
      <c r="M17">
        <v>0</v>
      </c>
      <c r="N17" t="s">
        <v>22</v>
      </c>
      <c r="O17">
        <v>4</v>
      </c>
      <c r="P17" t="s">
        <v>22</v>
      </c>
    </row>
    <row r="18" spans="1:26" x14ac:dyDescent="0.35">
      <c r="A18">
        <v>17</v>
      </c>
      <c r="B18">
        <v>8123.1854069160599</v>
      </c>
      <c r="C18">
        <v>23663.185406916</v>
      </c>
      <c r="D18">
        <v>0.10256410256410201</v>
      </c>
      <c r="E18">
        <v>49</v>
      </c>
      <c r="F18">
        <v>9</v>
      </c>
      <c r="G18">
        <v>5.1111111111111098</v>
      </c>
      <c r="L18" t="s">
        <v>29</v>
      </c>
      <c r="M18">
        <v>0</v>
      </c>
      <c r="N18" t="s">
        <v>22</v>
      </c>
      <c r="O18">
        <v>4</v>
      </c>
      <c r="P18" t="s">
        <v>22</v>
      </c>
    </row>
    <row r="19" spans="1:26" x14ac:dyDescent="0.35">
      <c r="A19">
        <v>18</v>
      </c>
      <c r="B19">
        <v>-6746.6230901090203</v>
      </c>
      <c r="C19">
        <v>10853.3769098909</v>
      </c>
      <c r="D19">
        <v>0.115384615384615</v>
      </c>
      <c r="E19">
        <v>0</v>
      </c>
      <c r="F19">
        <v>2</v>
      </c>
      <c r="G19">
        <v>0</v>
      </c>
      <c r="L19" t="s">
        <v>30</v>
      </c>
      <c r="M19">
        <v>0</v>
      </c>
      <c r="N19" t="s">
        <v>22</v>
      </c>
      <c r="O19">
        <v>5</v>
      </c>
      <c r="P19" t="s">
        <v>22</v>
      </c>
    </row>
    <row r="20" spans="1:26" x14ac:dyDescent="0.35">
      <c r="A20">
        <v>19</v>
      </c>
      <c r="B20">
        <v>16020.058251127901</v>
      </c>
      <c r="C20">
        <v>31820.058251127899</v>
      </c>
      <c r="D20">
        <v>0.15074786324786299</v>
      </c>
      <c r="E20">
        <v>46</v>
      </c>
      <c r="F20">
        <v>8</v>
      </c>
      <c r="G20">
        <v>10.5</v>
      </c>
      <c r="L20" t="s">
        <v>31</v>
      </c>
      <c r="M20">
        <v>0</v>
      </c>
      <c r="N20" t="s">
        <v>22</v>
      </c>
      <c r="O20">
        <v>5</v>
      </c>
      <c r="P20" t="s">
        <v>22</v>
      </c>
    </row>
    <row r="21" spans="1:26" x14ac:dyDescent="0.35">
      <c r="A21">
        <v>20</v>
      </c>
      <c r="B21">
        <v>1255.8990343622099</v>
      </c>
      <c r="C21">
        <v>16355.899034362201</v>
      </c>
      <c r="D21">
        <v>6.7841880341880295E-2</v>
      </c>
      <c r="E21">
        <v>113</v>
      </c>
      <c r="F21">
        <v>6</v>
      </c>
      <c r="G21">
        <v>0</v>
      </c>
      <c r="L21" t="s">
        <v>32</v>
      </c>
      <c r="M21">
        <v>0</v>
      </c>
      <c r="N21" t="s">
        <v>22</v>
      </c>
      <c r="O21">
        <v>6</v>
      </c>
      <c r="P21" t="s">
        <v>22</v>
      </c>
    </row>
    <row r="22" spans="1:26" x14ac:dyDescent="0.35">
      <c r="L22" t="s">
        <v>33</v>
      </c>
      <c r="M22">
        <v>0</v>
      </c>
      <c r="N22" t="s">
        <v>22</v>
      </c>
      <c r="O22">
        <v>6</v>
      </c>
      <c r="P22" t="s">
        <v>22</v>
      </c>
    </row>
    <row r="23" spans="1:26" x14ac:dyDescent="0.35">
      <c r="A23" t="s">
        <v>92</v>
      </c>
      <c r="B23">
        <f>AVERAGE(B2:B21)</f>
        <v>-3695.1810596131691</v>
      </c>
      <c r="C23">
        <f t="shared" ref="C23:G23" si="0">AVERAGE(C2:C21)</f>
        <v>12875.818940386785</v>
      </c>
      <c r="D23">
        <f t="shared" si="0"/>
        <v>0.10661565170940142</v>
      </c>
      <c r="E23">
        <f t="shared" si="0"/>
        <v>41.55</v>
      </c>
      <c r="F23">
        <f t="shared" si="0"/>
        <v>5.0999999999999996</v>
      </c>
      <c r="G23">
        <f t="shared" si="0"/>
        <v>5.2745634920634918</v>
      </c>
      <c r="L23" t="s">
        <v>34</v>
      </c>
      <c r="M23">
        <v>0</v>
      </c>
      <c r="N23" t="s">
        <v>22</v>
      </c>
      <c r="O23">
        <v>7</v>
      </c>
      <c r="P23" t="s">
        <v>22</v>
      </c>
    </row>
    <row r="24" spans="1:26" x14ac:dyDescent="0.35">
      <c r="A24" t="s">
        <v>93</v>
      </c>
      <c r="B24">
        <f>_xlfn.STDEV.S(B2:B21)</f>
        <v>7242.8528942842568</v>
      </c>
      <c r="C24">
        <f t="shared" ref="C24:G24" si="1">_xlfn.STDEV.S(C2:C21)</f>
        <v>6986.6674276425483</v>
      </c>
      <c r="D24">
        <f t="shared" si="1"/>
        <v>2.9035108031467499E-2</v>
      </c>
      <c r="E24">
        <f t="shared" si="1"/>
        <v>36.712933329879952</v>
      </c>
      <c r="F24">
        <f t="shared" si="1"/>
        <v>2.3147126683115773</v>
      </c>
      <c r="G24">
        <f t="shared" si="1"/>
        <v>4.0501593292798761</v>
      </c>
      <c r="L24" t="s">
        <v>35</v>
      </c>
      <c r="M24">
        <v>0</v>
      </c>
      <c r="N24" t="s">
        <v>22</v>
      </c>
      <c r="O24">
        <v>7</v>
      </c>
      <c r="P24" t="s">
        <v>22</v>
      </c>
    </row>
    <row r="25" spans="1:26" x14ac:dyDescent="0.35">
      <c r="L25" t="s">
        <v>36</v>
      </c>
      <c r="M25">
        <v>0</v>
      </c>
      <c r="N25" t="s">
        <v>22</v>
      </c>
      <c r="O25">
        <v>8</v>
      </c>
      <c r="P25" t="s">
        <v>22</v>
      </c>
    </row>
    <row r="26" spans="1:26" x14ac:dyDescent="0.35">
      <c r="L26" t="s">
        <v>37</v>
      </c>
      <c r="M26">
        <v>0</v>
      </c>
      <c r="N26" t="s">
        <v>22</v>
      </c>
      <c r="O26">
        <v>8</v>
      </c>
      <c r="P26" t="s">
        <v>22</v>
      </c>
    </row>
    <row r="27" spans="1:26" x14ac:dyDescent="0.35">
      <c r="L27" t="s">
        <v>38</v>
      </c>
      <c r="M27">
        <v>0</v>
      </c>
      <c r="N27" t="s">
        <v>22</v>
      </c>
      <c r="O27">
        <v>9</v>
      </c>
      <c r="P27" t="s">
        <v>22</v>
      </c>
    </row>
    <row r="28" spans="1:26" x14ac:dyDescent="0.35">
      <c r="L28" t="s">
        <v>39</v>
      </c>
      <c r="M28">
        <v>0</v>
      </c>
      <c r="N28" t="s">
        <v>22</v>
      </c>
      <c r="O28">
        <v>9</v>
      </c>
      <c r="P28" t="s">
        <v>22</v>
      </c>
    </row>
    <row r="29" spans="1:26" x14ac:dyDescent="0.35">
      <c r="L29" t="s">
        <v>40</v>
      </c>
      <c r="M29">
        <v>5</v>
      </c>
      <c r="N29" t="s">
        <v>22</v>
      </c>
      <c r="O29">
        <v>10</v>
      </c>
      <c r="P29">
        <v>1</v>
      </c>
      <c r="Q29">
        <v>4</v>
      </c>
      <c r="R29">
        <v>1</v>
      </c>
      <c r="S29">
        <v>4</v>
      </c>
      <c r="T29">
        <v>1</v>
      </c>
      <c r="U29" t="s">
        <v>22</v>
      </c>
      <c r="V29">
        <v>15</v>
      </c>
      <c r="W29">
        <v>54</v>
      </c>
      <c r="X29">
        <v>385</v>
      </c>
      <c r="Y29">
        <v>36</v>
      </c>
      <c r="Z29">
        <v>99</v>
      </c>
    </row>
    <row r="30" spans="1:26" x14ac:dyDescent="0.35">
      <c r="L30" t="s">
        <v>41</v>
      </c>
      <c r="M30">
        <v>0</v>
      </c>
      <c r="N30" t="s">
        <v>22</v>
      </c>
      <c r="O30">
        <v>10</v>
      </c>
      <c r="P30" t="s">
        <v>22</v>
      </c>
    </row>
    <row r="31" spans="1:26" x14ac:dyDescent="0.35">
      <c r="L31" t="s">
        <v>42</v>
      </c>
      <c r="M31" t="s">
        <v>43</v>
      </c>
    </row>
    <row r="32" spans="1:26" x14ac:dyDescent="0.35">
      <c r="L32" t="s">
        <v>8</v>
      </c>
    </row>
    <row r="33" spans="12:27" x14ac:dyDescent="0.35">
      <c r="L33" t="s">
        <v>44</v>
      </c>
      <c r="M33">
        <v>29</v>
      </c>
      <c r="N33" t="s">
        <v>22</v>
      </c>
      <c r="O33" t="s">
        <v>45</v>
      </c>
      <c r="P33">
        <v>5</v>
      </c>
      <c r="Q33" t="s">
        <v>22</v>
      </c>
      <c r="R33" t="s">
        <v>46</v>
      </c>
      <c r="S33" t="s">
        <v>50</v>
      </c>
      <c r="T33" t="s">
        <v>22</v>
      </c>
      <c r="U33">
        <v>4</v>
      </c>
      <c r="V33" t="s">
        <v>48</v>
      </c>
      <c r="W33">
        <v>1</v>
      </c>
      <c r="X33" t="s">
        <v>22</v>
      </c>
      <c r="Y33" t="s">
        <v>49</v>
      </c>
      <c r="Z33" t="s">
        <v>22</v>
      </c>
      <c r="AA33" t="s">
        <v>72</v>
      </c>
    </row>
    <row r="34" spans="12:27" x14ac:dyDescent="0.35">
      <c r="L34" t="s">
        <v>44</v>
      </c>
      <c r="M34">
        <v>30</v>
      </c>
      <c r="N34" t="s">
        <v>22</v>
      </c>
      <c r="O34" t="s">
        <v>45</v>
      </c>
      <c r="P34">
        <v>19</v>
      </c>
      <c r="Q34" t="s">
        <v>22</v>
      </c>
      <c r="R34" t="s">
        <v>46</v>
      </c>
      <c r="S34" t="s">
        <v>73</v>
      </c>
      <c r="T34" t="s">
        <v>22</v>
      </c>
      <c r="U34">
        <v>4</v>
      </c>
      <c r="V34" t="s">
        <v>48</v>
      </c>
      <c r="W34">
        <v>1</v>
      </c>
      <c r="X34" t="s">
        <v>22</v>
      </c>
      <c r="Y34" t="s">
        <v>49</v>
      </c>
      <c r="Z34" t="s">
        <v>22</v>
      </c>
      <c r="AA34" t="s">
        <v>74</v>
      </c>
    </row>
    <row r="35" spans="12:27" x14ac:dyDescent="0.35">
      <c r="L35" t="s">
        <v>44</v>
      </c>
      <c r="M35">
        <v>39</v>
      </c>
      <c r="N35" t="s">
        <v>22</v>
      </c>
      <c r="O35" t="s">
        <v>45</v>
      </c>
      <c r="P35">
        <v>19</v>
      </c>
      <c r="Q35" t="s">
        <v>22</v>
      </c>
      <c r="R35" t="s">
        <v>46</v>
      </c>
      <c r="S35" t="s">
        <v>75</v>
      </c>
      <c r="T35" t="s">
        <v>22</v>
      </c>
      <c r="U35">
        <v>1</v>
      </c>
      <c r="V35" t="s">
        <v>48</v>
      </c>
      <c r="W35">
        <v>4</v>
      </c>
      <c r="X35" t="s">
        <v>22</v>
      </c>
      <c r="Y35" t="s">
        <v>49</v>
      </c>
      <c r="Z35" t="s">
        <v>22</v>
      </c>
      <c r="AA35" t="s">
        <v>76</v>
      </c>
    </row>
    <row r="36" spans="12:27" x14ac:dyDescent="0.35">
      <c r="L36" t="s">
        <v>44</v>
      </c>
      <c r="M36">
        <v>54</v>
      </c>
      <c r="N36" t="s">
        <v>22</v>
      </c>
      <c r="O36" t="s">
        <v>45</v>
      </c>
      <c r="P36">
        <v>19</v>
      </c>
      <c r="Q36" t="s">
        <v>22</v>
      </c>
      <c r="R36" t="s">
        <v>46</v>
      </c>
      <c r="S36" t="s">
        <v>77</v>
      </c>
      <c r="T36" t="s">
        <v>22</v>
      </c>
      <c r="U36">
        <v>4</v>
      </c>
      <c r="V36" t="s">
        <v>48</v>
      </c>
      <c r="W36">
        <v>1</v>
      </c>
      <c r="X36" t="s">
        <v>22</v>
      </c>
      <c r="Y36" t="s">
        <v>49</v>
      </c>
      <c r="Z36" t="s">
        <v>22</v>
      </c>
      <c r="AA36" t="s">
        <v>78</v>
      </c>
    </row>
    <row r="37" spans="12:27" x14ac:dyDescent="0.35">
      <c r="L37" t="s">
        <v>44</v>
      </c>
      <c r="M37">
        <v>5</v>
      </c>
      <c r="N37" t="s">
        <v>22</v>
      </c>
      <c r="O37" t="s">
        <v>45</v>
      </c>
      <c r="P37">
        <v>19</v>
      </c>
      <c r="Q37" t="s">
        <v>22</v>
      </c>
      <c r="R37" t="s">
        <v>46</v>
      </c>
      <c r="S37" t="s">
        <v>50</v>
      </c>
      <c r="T37" t="s">
        <v>22</v>
      </c>
      <c r="U37">
        <v>1</v>
      </c>
      <c r="V37" t="s">
        <v>48</v>
      </c>
      <c r="W37">
        <v>4</v>
      </c>
      <c r="X37" t="s">
        <v>22</v>
      </c>
      <c r="Y37" t="s">
        <v>51</v>
      </c>
      <c r="Z37" t="s">
        <v>22</v>
      </c>
      <c r="AA37" t="s">
        <v>79</v>
      </c>
    </row>
    <row r="38" spans="12:27" x14ac:dyDescent="0.35">
      <c r="L38" t="s">
        <v>44</v>
      </c>
      <c r="M38">
        <v>26</v>
      </c>
      <c r="N38" t="s">
        <v>22</v>
      </c>
      <c r="O38" t="s">
        <v>45</v>
      </c>
      <c r="P38">
        <v>5</v>
      </c>
      <c r="Q38" t="s">
        <v>22</v>
      </c>
      <c r="R38" t="s">
        <v>46</v>
      </c>
      <c r="S38" t="s">
        <v>47</v>
      </c>
      <c r="T38" t="s">
        <v>22</v>
      </c>
      <c r="U38">
        <v>3</v>
      </c>
      <c r="V38" t="s">
        <v>48</v>
      </c>
      <c r="W38">
        <v>4</v>
      </c>
      <c r="X38" t="s">
        <v>22</v>
      </c>
      <c r="Y38" t="s">
        <v>51</v>
      </c>
      <c r="Z38" t="s">
        <v>22</v>
      </c>
      <c r="AA38" t="s">
        <v>80</v>
      </c>
    </row>
    <row r="39" spans="12:27" x14ac:dyDescent="0.35">
      <c r="L39" t="s">
        <v>44</v>
      </c>
      <c r="M39">
        <v>46</v>
      </c>
      <c r="N39" t="s">
        <v>22</v>
      </c>
      <c r="O39" t="s">
        <v>45</v>
      </c>
      <c r="P39">
        <v>1</v>
      </c>
      <c r="Q39" t="s">
        <v>22</v>
      </c>
      <c r="R39" t="s">
        <v>46</v>
      </c>
      <c r="S39" t="s">
        <v>50</v>
      </c>
      <c r="T39" t="s">
        <v>22</v>
      </c>
      <c r="U39">
        <v>10</v>
      </c>
      <c r="V39" t="s">
        <v>48</v>
      </c>
      <c r="W39">
        <v>3</v>
      </c>
      <c r="X39" t="s">
        <v>22</v>
      </c>
      <c r="Y39" t="s">
        <v>51</v>
      </c>
      <c r="Z39" t="s">
        <v>22</v>
      </c>
      <c r="AA39" t="s">
        <v>81</v>
      </c>
    </row>
    <row r="40" spans="12:27" x14ac:dyDescent="0.35">
      <c r="L40" t="s">
        <v>44</v>
      </c>
      <c r="M40">
        <v>7</v>
      </c>
      <c r="N40" t="s">
        <v>22</v>
      </c>
      <c r="O40" t="s">
        <v>45</v>
      </c>
      <c r="P40">
        <v>1</v>
      </c>
      <c r="Q40" t="s">
        <v>22</v>
      </c>
      <c r="R40" t="s">
        <v>46</v>
      </c>
      <c r="S40" t="s">
        <v>47</v>
      </c>
      <c r="T40" t="s">
        <v>22</v>
      </c>
      <c r="U40">
        <v>1</v>
      </c>
      <c r="V40" t="s">
        <v>48</v>
      </c>
      <c r="W40">
        <v>10</v>
      </c>
      <c r="X40" t="s">
        <v>22</v>
      </c>
      <c r="Y40" t="s">
        <v>51</v>
      </c>
      <c r="Z40" t="s">
        <v>22</v>
      </c>
      <c r="AA40" t="s">
        <v>82</v>
      </c>
    </row>
    <row r="41" spans="12:27" x14ac:dyDescent="0.35">
      <c r="L41" t="s">
        <v>9</v>
      </c>
    </row>
    <row r="42" spans="12:27" x14ac:dyDescent="0.35">
      <c r="L42" t="s">
        <v>10</v>
      </c>
    </row>
    <row r="44" spans="12:27" x14ac:dyDescent="0.35">
      <c r="L44" t="s">
        <v>54</v>
      </c>
      <c r="M44">
        <v>1</v>
      </c>
    </row>
    <row r="45" spans="12:27" x14ac:dyDescent="0.35">
      <c r="L45" t="s">
        <v>11</v>
      </c>
    </row>
    <row r="46" spans="12:27" x14ac:dyDescent="0.35">
      <c r="L46" t="s">
        <v>55</v>
      </c>
      <c r="M46" t="s">
        <v>56</v>
      </c>
      <c r="N46" t="s">
        <v>57</v>
      </c>
      <c r="O46" t="s">
        <v>58</v>
      </c>
      <c r="P46" t="s">
        <v>59</v>
      </c>
      <c r="Q46" t="s">
        <v>60</v>
      </c>
      <c r="R46" t="s">
        <v>61</v>
      </c>
    </row>
    <row r="47" spans="12:27" x14ac:dyDescent="0.35">
      <c r="L47" t="s">
        <v>11</v>
      </c>
    </row>
    <row r="48" spans="12:27" x14ac:dyDescent="0.35">
      <c r="L48">
        <v>1</v>
      </c>
      <c r="M48">
        <v>1</v>
      </c>
      <c r="N48">
        <v>10</v>
      </c>
      <c r="O48">
        <v>105</v>
      </c>
      <c r="P48">
        <v>115</v>
      </c>
      <c r="Q48">
        <v>10</v>
      </c>
      <c r="R48">
        <v>1</v>
      </c>
    </row>
    <row r="49" spans="12:18" x14ac:dyDescent="0.35">
      <c r="L49">
        <v>2</v>
      </c>
      <c r="M49">
        <v>10</v>
      </c>
      <c r="N49">
        <v>3</v>
      </c>
      <c r="O49">
        <v>622</v>
      </c>
      <c r="P49">
        <v>641</v>
      </c>
      <c r="Q49">
        <v>19</v>
      </c>
      <c r="R49">
        <v>1</v>
      </c>
    </row>
    <row r="50" spans="12:18" x14ac:dyDescent="0.35">
      <c r="L50">
        <v>3</v>
      </c>
      <c r="M50">
        <v>3</v>
      </c>
      <c r="N50">
        <v>1</v>
      </c>
      <c r="O50">
        <v>656</v>
      </c>
      <c r="P50">
        <v>674</v>
      </c>
      <c r="Q50">
        <v>18</v>
      </c>
      <c r="R50">
        <v>4</v>
      </c>
    </row>
    <row r="52" spans="12:18" x14ac:dyDescent="0.35">
      <c r="L52" t="s">
        <v>54</v>
      </c>
      <c r="M52">
        <v>5</v>
      </c>
    </row>
    <row r="53" spans="12:18" x14ac:dyDescent="0.35">
      <c r="L53" t="s">
        <v>11</v>
      </c>
    </row>
    <row r="54" spans="12:18" x14ac:dyDescent="0.35">
      <c r="L54" t="s">
        <v>55</v>
      </c>
      <c r="M54" t="s">
        <v>56</v>
      </c>
      <c r="N54" t="s">
        <v>57</v>
      </c>
      <c r="O54" t="s">
        <v>58</v>
      </c>
      <c r="P54" t="s">
        <v>59</v>
      </c>
      <c r="Q54" t="s">
        <v>60</v>
      </c>
      <c r="R54" t="s">
        <v>61</v>
      </c>
    </row>
    <row r="55" spans="12:18" x14ac:dyDescent="0.35">
      <c r="L55" t="s">
        <v>11</v>
      </c>
    </row>
    <row r="56" spans="12:18" x14ac:dyDescent="0.35">
      <c r="L56">
        <v>1</v>
      </c>
      <c r="M56">
        <v>3</v>
      </c>
      <c r="N56">
        <v>4</v>
      </c>
      <c r="O56">
        <v>395</v>
      </c>
      <c r="P56">
        <v>411</v>
      </c>
      <c r="Q56">
        <v>16</v>
      </c>
      <c r="R56">
        <v>0</v>
      </c>
    </row>
    <row r="57" spans="12:18" x14ac:dyDescent="0.35">
      <c r="L57">
        <v>2</v>
      </c>
      <c r="M57">
        <v>4</v>
      </c>
      <c r="N57">
        <v>1</v>
      </c>
      <c r="O57">
        <v>477</v>
      </c>
      <c r="P57">
        <v>507</v>
      </c>
      <c r="Q57">
        <v>30</v>
      </c>
      <c r="R57">
        <v>0</v>
      </c>
    </row>
    <row r="58" spans="12:18" x14ac:dyDescent="0.35">
      <c r="L58">
        <v>3</v>
      </c>
      <c r="M58">
        <v>1</v>
      </c>
      <c r="N58">
        <v>3</v>
      </c>
      <c r="O58">
        <v>522</v>
      </c>
      <c r="P58">
        <v>540</v>
      </c>
      <c r="Q58">
        <v>18</v>
      </c>
      <c r="R58">
        <v>4</v>
      </c>
    </row>
    <row r="60" spans="12:18" x14ac:dyDescent="0.35">
      <c r="L60" t="s">
        <v>54</v>
      </c>
      <c r="M60">
        <v>19</v>
      </c>
    </row>
    <row r="61" spans="12:18" x14ac:dyDescent="0.35">
      <c r="L61" t="s">
        <v>11</v>
      </c>
    </row>
    <row r="62" spans="12:18" x14ac:dyDescent="0.35">
      <c r="L62" t="s">
        <v>55</v>
      </c>
      <c r="M62" t="s">
        <v>56</v>
      </c>
      <c r="N62" t="s">
        <v>57</v>
      </c>
      <c r="O62" t="s">
        <v>58</v>
      </c>
      <c r="P62" t="s">
        <v>59</v>
      </c>
      <c r="Q62" t="s">
        <v>60</v>
      </c>
      <c r="R62" t="s">
        <v>61</v>
      </c>
    </row>
    <row r="63" spans="12:18" x14ac:dyDescent="0.35">
      <c r="L63" t="s">
        <v>11</v>
      </c>
    </row>
    <row r="64" spans="12:18" x14ac:dyDescent="0.35">
      <c r="L64">
        <v>1</v>
      </c>
      <c r="M64">
        <v>10</v>
      </c>
      <c r="N64">
        <v>1</v>
      </c>
      <c r="O64">
        <v>15</v>
      </c>
      <c r="P64">
        <v>25</v>
      </c>
      <c r="Q64">
        <v>10</v>
      </c>
      <c r="R64">
        <v>4</v>
      </c>
    </row>
    <row r="65" spans="12:18" x14ac:dyDescent="0.35">
      <c r="L65">
        <v>2</v>
      </c>
      <c r="M65">
        <v>1</v>
      </c>
      <c r="N65">
        <v>4</v>
      </c>
      <c r="O65">
        <v>79</v>
      </c>
      <c r="P65">
        <v>109</v>
      </c>
      <c r="Q65">
        <v>30</v>
      </c>
      <c r="R65">
        <v>0</v>
      </c>
    </row>
    <row r="66" spans="12:18" x14ac:dyDescent="0.35">
      <c r="L66">
        <v>3</v>
      </c>
      <c r="M66">
        <v>4</v>
      </c>
      <c r="N66">
        <v>1</v>
      </c>
      <c r="O66">
        <v>494</v>
      </c>
      <c r="P66">
        <v>524</v>
      </c>
      <c r="Q66">
        <v>30</v>
      </c>
      <c r="R66">
        <v>0</v>
      </c>
    </row>
    <row r="67" spans="12:18" x14ac:dyDescent="0.35">
      <c r="L67">
        <v>4</v>
      </c>
      <c r="M67">
        <v>1</v>
      </c>
      <c r="N67">
        <v>4</v>
      </c>
      <c r="O67">
        <v>560</v>
      </c>
      <c r="P67">
        <v>590</v>
      </c>
      <c r="Q67">
        <v>30</v>
      </c>
      <c r="R67">
        <v>0</v>
      </c>
    </row>
    <row r="68" spans="12:18" x14ac:dyDescent="0.35">
      <c r="L68">
        <v>5</v>
      </c>
      <c r="M68">
        <v>4</v>
      </c>
      <c r="N68">
        <v>1</v>
      </c>
      <c r="O68">
        <v>689</v>
      </c>
      <c r="P68">
        <v>719</v>
      </c>
      <c r="Q68">
        <v>30</v>
      </c>
      <c r="R68">
        <v>0</v>
      </c>
    </row>
    <row r="70" spans="12:18" x14ac:dyDescent="0.35">
      <c r="L70" t="s">
        <v>62</v>
      </c>
      <c r="M70" t="s">
        <v>63</v>
      </c>
      <c r="N70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284E-66B0-4C32-8AA0-7CCAD7281E19}">
  <dimension ref="A1:AB84"/>
  <sheetViews>
    <sheetView topLeftCell="I66" workbookViewId="0">
      <selection activeCell="O75" sqref="O75"/>
    </sheetView>
  </sheetViews>
  <sheetFormatPr defaultRowHeight="14.5" x14ac:dyDescent="0.35"/>
  <cols>
    <col min="2" max="2" width="12" bestFit="1" customWidth="1"/>
    <col min="16" max="16" width="21.17968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1" x14ac:dyDescent="0.35">
      <c r="A2">
        <v>1</v>
      </c>
      <c r="B2">
        <v>-2796.5378357258701</v>
      </c>
      <c r="C2">
        <v>13303.4621642741</v>
      </c>
      <c r="D2">
        <v>0.11971153846153799</v>
      </c>
      <c r="E2">
        <v>19</v>
      </c>
      <c r="F2">
        <v>3</v>
      </c>
      <c r="G2">
        <v>0</v>
      </c>
    </row>
    <row r="3" spans="1:21" x14ac:dyDescent="0.35">
      <c r="A3">
        <v>2</v>
      </c>
      <c r="B3">
        <v>-1260.81257239505</v>
      </c>
      <c r="C3">
        <v>15739.1874276049</v>
      </c>
      <c r="D3">
        <v>0.114209401709401</v>
      </c>
      <c r="E3">
        <v>87</v>
      </c>
      <c r="F3">
        <v>8</v>
      </c>
      <c r="G3">
        <v>5.375</v>
      </c>
    </row>
    <row r="4" spans="1:21" x14ac:dyDescent="0.35">
      <c r="A4">
        <v>3</v>
      </c>
      <c r="B4">
        <v>4670.4916763034398</v>
      </c>
      <c r="C4">
        <v>20970.491676303402</v>
      </c>
      <c r="D4">
        <v>0.125</v>
      </c>
      <c r="E4">
        <v>10</v>
      </c>
      <c r="F4">
        <v>5</v>
      </c>
      <c r="G4">
        <v>0</v>
      </c>
      <c r="M4" t="s">
        <v>12</v>
      </c>
      <c r="N4" t="s">
        <v>13</v>
      </c>
      <c r="O4" t="s">
        <v>14</v>
      </c>
      <c r="P4" t="s">
        <v>15</v>
      </c>
    </row>
    <row r="5" spans="1:21" x14ac:dyDescent="0.35">
      <c r="A5">
        <v>4</v>
      </c>
      <c r="B5">
        <v>9330.6988464912502</v>
      </c>
      <c r="C5">
        <v>25730.698846491199</v>
      </c>
      <c r="D5">
        <v>0.119487179487179</v>
      </c>
      <c r="E5">
        <v>87</v>
      </c>
      <c r="F5">
        <v>7</v>
      </c>
      <c r="G5">
        <v>2.8571428571428501</v>
      </c>
      <c r="M5" t="s">
        <v>16</v>
      </c>
      <c r="N5" t="s">
        <v>17</v>
      </c>
      <c r="O5">
        <v>27037.161399731602</v>
      </c>
    </row>
    <row r="6" spans="1:21" x14ac:dyDescent="0.35">
      <c r="A6">
        <v>5</v>
      </c>
      <c r="B6">
        <v>-6500.9516405694703</v>
      </c>
      <c r="C6">
        <v>9259.0483594305206</v>
      </c>
      <c r="D6">
        <v>0.11466346153846101</v>
      </c>
      <c r="E6">
        <v>230</v>
      </c>
      <c r="F6">
        <v>8</v>
      </c>
      <c r="G6">
        <v>3.5</v>
      </c>
      <c r="M6" t="s">
        <v>18</v>
      </c>
      <c r="N6" t="s">
        <v>17</v>
      </c>
      <c r="O6">
        <v>43897.161399731602</v>
      </c>
    </row>
    <row r="7" spans="1:21" x14ac:dyDescent="0.35">
      <c r="A7">
        <v>6</v>
      </c>
      <c r="B7">
        <v>13965.2877276422</v>
      </c>
      <c r="C7">
        <v>31365.2877276422</v>
      </c>
      <c r="D7">
        <v>0.13119658119658101</v>
      </c>
      <c r="E7">
        <v>26</v>
      </c>
      <c r="F7">
        <v>5</v>
      </c>
      <c r="G7">
        <v>7.4</v>
      </c>
      <c r="M7" t="s">
        <v>19</v>
      </c>
      <c r="N7" t="s">
        <v>20</v>
      </c>
    </row>
    <row r="8" spans="1:21" x14ac:dyDescent="0.35">
      <c r="A8">
        <v>7</v>
      </c>
      <c r="B8">
        <v>10460.546070496501</v>
      </c>
      <c r="C8">
        <v>28360.546070496501</v>
      </c>
      <c r="D8">
        <v>0.104395604395604</v>
      </c>
      <c r="E8">
        <v>105</v>
      </c>
      <c r="F8">
        <v>8</v>
      </c>
      <c r="G8">
        <v>6.25</v>
      </c>
      <c r="M8" t="s">
        <v>7</v>
      </c>
    </row>
    <row r="9" spans="1:21" x14ac:dyDescent="0.35">
      <c r="A9">
        <v>8</v>
      </c>
      <c r="B9">
        <v>2195.5946848919298</v>
      </c>
      <c r="C9">
        <v>20875.594684891901</v>
      </c>
      <c r="D9">
        <v>0.117692307692307</v>
      </c>
      <c r="E9">
        <v>83</v>
      </c>
      <c r="F9">
        <v>7</v>
      </c>
      <c r="G9">
        <v>6.1428571428571397</v>
      </c>
      <c r="M9" t="s">
        <v>21</v>
      </c>
      <c r="N9">
        <v>2</v>
      </c>
      <c r="O9" t="s">
        <v>22</v>
      </c>
      <c r="P9">
        <v>1</v>
      </c>
      <c r="Q9">
        <v>4</v>
      </c>
      <c r="R9">
        <v>1</v>
      </c>
      <c r="S9" t="s">
        <v>22</v>
      </c>
      <c r="T9">
        <v>586</v>
      </c>
      <c r="U9">
        <v>30</v>
      </c>
    </row>
    <row r="10" spans="1:21" x14ac:dyDescent="0.35">
      <c r="A10">
        <v>9</v>
      </c>
      <c r="B10">
        <v>12038.0030391457</v>
      </c>
      <c r="C10">
        <v>28518.0030391457</v>
      </c>
      <c r="D10">
        <v>0.121602564102564</v>
      </c>
      <c r="E10">
        <v>267</v>
      </c>
      <c r="F10">
        <v>10</v>
      </c>
      <c r="G10">
        <v>2</v>
      </c>
      <c r="M10" t="s">
        <v>23</v>
      </c>
      <c r="N10">
        <v>0</v>
      </c>
      <c r="O10" t="s">
        <v>22</v>
      </c>
      <c r="P10">
        <v>1</v>
      </c>
      <c r="Q10" t="s">
        <v>22</v>
      </c>
    </row>
    <row r="11" spans="1:21" x14ac:dyDescent="0.35">
      <c r="A11">
        <v>10</v>
      </c>
      <c r="B11">
        <v>-6062.0471480510596</v>
      </c>
      <c r="C11">
        <v>9597.9528519489304</v>
      </c>
      <c r="D11">
        <v>0.10249999999999999</v>
      </c>
      <c r="E11">
        <v>108</v>
      </c>
      <c r="F11">
        <v>5</v>
      </c>
      <c r="G11">
        <v>4.5999999999999996</v>
      </c>
      <c r="M11" t="s">
        <v>24</v>
      </c>
      <c r="N11">
        <v>0</v>
      </c>
      <c r="O11" t="s">
        <v>22</v>
      </c>
      <c r="P11">
        <v>2</v>
      </c>
      <c r="Q11" t="s">
        <v>22</v>
      </c>
    </row>
    <row r="12" spans="1:21" x14ac:dyDescent="0.35">
      <c r="A12">
        <v>11</v>
      </c>
      <c r="B12">
        <v>12173.8993623195</v>
      </c>
      <c r="C12">
        <v>28533.899362319498</v>
      </c>
      <c r="D12">
        <v>0.115438034188034</v>
      </c>
      <c r="E12">
        <v>85</v>
      </c>
      <c r="F12">
        <v>8</v>
      </c>
      <c r="G12">
        <v>8.875</v>
      </c>
      <c r="M12" t="s">
        <v>25</v>
      </c>
      <c r="N12">
        <v>0</v>
      </c>
      <c r="O12" t="s">
        <v>22</v>
      </c>
      <c r="P12">
        <v>2</v>
      </c>
      <c r="Q12" t="s">
        <v>22</v>
      </c>
    </row>
    <row r="13" spans="1:21" x14ac:dyDescent="0.35">
      <c r="A13">
        <v>12</v>
      </c>
      <c r="B13">
        <v>9313.2172239551401</v>
      </c>
      <c r="C13">
        <v>25353.2172239551</v>
      </c>
      <c r="D13">
        <v>0.12932692307692301</v>
      </c>
      <c r="E13">
        <v>152</v>
      </c>
      <c r="F13">
        <v>8</v>
      </c>
      <c r="G13">
        <v>2.625</v>
      </c>
      <c r="M13" t="s">
        <v>26</v>
      </c>
      <c r="N13">
        <v>0</v>
      </c>
      <c r="O13" t="s">
        <v>22</v>
      </c>
      <c r="P13">
        <v>3</v>
      </c>
      <c r="Q13" t="s">
        <v>22</v>
      </c>
    </row>
    <row r="14" spans="1:21" x14ac:dyDescent="0.35">
      <c r="A14">
        <v>13</v>
      </c>
      <c r="B14">
        <v>14106.1430499119</v>
      </c>
      <c r="C14">
        <v>30146.143049911901</v>
      </c>
      <c r="D14">
        <v>0.115242165242165</v>
      </c>
      <c r="E14">
        <v>226</v>
      </c>
      <c r="F14">
        <v>9</v>
      </c>
      <c r="G14">
        <v>1.2222222222222201</v>
      </c>
      <c r="M14" t="s">
        <v>27</v>
      </c>
      <c r="N14">
        <v>2</v>
      </c>
      <c r="O14" t="s">
        <v>22</v>
      </c>
      <c r="P14">
        <v>3</v>
      </c>
      <c r="Q14">
        <v>5</v>
      </c>
      <c r="R14">
        <v>3</v>
      </c>
      <c r="S14" t="s">
        <v>22</v>
      </c>
      <c r="T14">
        <v>0</v>
      </c>
      <c r="U14">
        <v>594</v>
      </c>
    </row>
    <row r="15" spans="1:21" x14ac:dyDescent="0.35">
      <c r="A15">
        <v>14</v>
      </c>
      <c r="B15">
        <v>2737.42658235709</v>
      </c>
      <c r="C15">
        <v>18637.426582356999</v>
      </c>
      <c r="D15">
        <v>0.11690705128205101</v>
      </c>
      <c r="E15">
        <v>187</v>
      </c>
      <c r="F15">
        <v>10</v>
      </c>
      <c r="G15">
        <v>2.5</v>
      </c>
      <c r="M15" t="s">
        <v>28</v>
      </c>
      <c r="N15">
        <v>0</v>
      </c>
      <c r="O15" t="s">
        <v>22</v>
      </c>
      <c r="P15">
        <v>4</v>
      </c>
      <c r="Q15" t="s">
        <v>22</v>
      </c>
    </row>
    <row r="16" spans="1:21" x14ac:dyDescent="0.35">
      <c r="A16">
        <v>15</v>
      </c>
      <c r="B16">
        <v>1111.9102942744701</v>
      </c>
      <c r="C16">
        <v>19311.910294274399</v>
      </c>
      <c r="D16">
        <v>0.108814102564102</v>
      </c>
      <c r="E16">
        <v>101</v>
      </c>
      <c r="F16">
        <v>7</v>
      </c>
      <c r="G16">
        <v>12.857142857142801</v>
      </c>
      <c r="M16" t="s">
        <v>29</v>
      </c>
      <c r="N16">
        <v>2</v>
      </c>
      <c r="O16" t="s">
        <v>22</v>
      </c>
      <c r="P16">
        <v>4</v>
      </c>
      <c r="Q16">
        <v>1</v>
      </c>
      <c r="R16">
        <v>4</v>
      </c>
      <c r="S16" t="s">
        <v>22</v>
      </c>
      <c r="T16">
        <v>145</v>
      </c>
      <c r="U16">
        <v>566</v>
      </c>
    </row>
    <row r="17" spans="1:28" x14ac:dyDescent="0.35">
      <c r="A17">
        <v>16</v>
      </c>
      <c r="B17">
        <v>16640.317385507798</v>
      </c>
      <c r="C17">
        <v>33440.317385507798</v>
      </c>
      <c r="D17">
        <v>0.12264957264957201</v>
      </c>
      <c r="E17">
        <v>96</v>
      </c>
      <c r="F17">
        <v>8</v>
      </c>
      <c r="G17">
        <v>6</v>
      </c>
      <c r="M17" t="s">
        <v>30</v>
      </c>
      <c r="N17">
        <v>0</v>
      </c>
      <c r="O17" t="s">
        <v>22</v>
      </c>
      <c r="P17">
        <v>5</v>
      </c>
      <c r="Q17" t="s">
        <v>22</v>
      </c>
    </row>
    <row r="18" spans="1:28" x14ac:dyDescent="0.35">
      <c r="A18">
        <v>17</v>
      </c>
      <c r="B18">
        <v>13438.3848889936</v>
      </c>
      <c r="C18">
        <v>29538.384888993602</v>
      </c>
      <c r="D18">
        <v>0.118846153846153</v>
      </c>
      <c r="E18">
        <v>86</v>
      </c>
      <c r="F18">
        <v>6</v>
      </c>
      <c r="G18">
        <v>7.8333333333333304</v>
      </c>
      <c r="M18" t="s">
        <v>31</v>
      </c>
      <c r="N18">
        <v>2</v>
      </c>
      <c r="O18" t="s">
        <v>22</v>
      </c>
      <c r="P18">
        <v>5</v>
      </c>
      <c r="Q18">
        <v>3</v>
      </c>
      <c r="R18">
        <v>5</v>
      </c>
      <c r="S18" t="s">
        <v>22</v>
      </c>
      <c r="T18">
        <v>609</v>
      </c>
      <c r="U18">
        <v>30</v>
      </c>
    </row>
    <row r="19" spans="1:28" x14ac:dyDescent="0.35">
      <c r="A19">
        <v>18</v>
      </c>
      <c r="B19">
        <v>3688.6007726551602</v>
      </c>
      <c r="C19">
        <v>19788.6007726551</v>
      </c>
      <c r="D19">
        <v>0.10531135531135501</v>
      </c>
      <c r="E19">
        <v>98</v>
      </c>
      <c r="F19">
        <v>8</v>
      </c>
      <c r="G19">
        <v>9.25</v>
      </c>
      <c r="M19" t="s">
        <v>32</v>
      </c>
      <c r="N19">
        <v>0</v>
      </c>
      <c r="O19" t="s">
        <v>22</v>
      </c>
      <c r="P19">
        <v>6</v>
      </c>
      <c r="Q19" t="s">
        <v>22</v>
      </c>
    </row>
    <row r="20" spans="1:28" x14ac:dyDescent="0.35">
      <c r="A20">
        <v>19</v>
      </c>
      <c r="B20">
        <v>-2325.42881315152</v>
      </c>
      <c r="C20">
        <v>14674.5711868484</v>
      </c>
      <c r="D20">
        <v>0.116626602564102</v>
      </c>
      <c r="E20">
        <v>179</v>
      </c>
      <c r="F20">
        <v>9</v>
      </c>
      <c r="G20">
        <v>1.2222222222222201</v>
      </c>
      <c r="M20" t="s">
        <v>33</v>
      </c>
      <c r="N20">
        <v>0</v>
      </c>
      <c r="O20" t="s">
        <v>22</v>
      </c>
      <c r="P20">
        <v>6</v>
      </c>
      <c r="Q20" t="s">
        <v>22</v>
      </c>
    </row>
    <row r="21" spans="1:28" x14ac:dyDescent="0.35">
      <c r="A21">
        <v>20</v>
      </c>
      <c r="B21">
        <v>27037.161399731602</v>
      </c>
      <c r="C21">
        <v>43897.161399731602</v>
      </c>
      <c r="D21">
        <v>0.119551282051282</v>
      </c>
      <c r="E21">
        <v>67</v>
      </c>
      <c r="F21">
        <v>8</v>
      </c>
      <c r="G21">
        <v>0.5</v>
      </c>
      <c r="M21" t="s">
        <v>34</v>
      </c>
      <c r="N21">
        <v>0</v>
      </c>
      <c r="O21" t="s">
        <v>22</v>
      </c>
      <c r="P21">
        <v>7</v>
      </c>
      <c r="Q21" t="s">
        <v>22</v>
      </c>
    </row>
    <row r="22" spans="1:28" x14ac:dyDescent="0.35">
      <c r="M22" t="s">
        <v>35</v>
      </c>
      <c r="N22">
        <v>0</v>
      </c>
      <c r="O22" t="s">
        <v>22</v>
      </c>
      <c r="P22">
        <v>7</v>
      </c>
      <c r="Q22" t="s">
        <v>22</v>
      </c>
    </row>
    <row r="23" spans="1:28" x14ac:dyDescent="0.35">
      <c r="A23" t="s">
        <v>101</v>
      </c>
      <c r="B23">
        <f>AVERAGE(B2:B21)</f>
        <v>6698.0952497392163</v>
      </c>
      <c r="C23">
        <f t="shared" ref="C23:G23" si="0">AVERAGE(C2:C21)</f>
        <v>23352.095249739185</v>
      </c>
      <c r="D23">
        <f t="shared" si="0"/>
        <v>0.11695859406796869</v>
      </c>
      <c r="E23">
        <f t="shared" si="0"/>
        <v>114.95</v>
      </c>
      <c r="F23">
        <f t="shared" si="0"/>
        <v>7.35</v>
      </c>
      <c r="G23">
        <f t="shared" si="0"/>
        <v>4.5504960317460279</v>
      </c>
      <c r="M23" t="s">
        <v>36</v>
      </c>
      <c r="N23">
        <v>2</v>
      </c>
      <c r="O23" t="s">
        <v>22</v>
      </c>
      <c r="P23">
        <v>8</v>
      </c>
      <c r="Q23">
        <v>10</v>
      </c>
      <c r="R23">
        <v>8</v>
      </c>
      <c r="S23" t="s">
        <v>22</v>
      </c>
      <c r="T23">
        <v>42</v>
      </c>
      <c r="U23">
        <v>393</v>
      </c>
    </row>
    <row r="24" spans="1:28" x14ac:dyDescent="0.35">
      <c r="A24" t="s">
        <v>93</v>
      </c>
      <c r="B24">
        <f>_xlfn.STDEV.S(B2:B21)</f>
        <v>8597.3010955356076</v>
      </c>
      <c r="C24">
        <f t="shared" ref="C24:G24" si="1">_xlfn.STDEV.S(C2:C21)</f>
        <v>8723.4499673069786</v>
      </c>
      <c r="D24">
        <f t="shared" si="1"/>
        <v>7.5608994226775894E-3</v>
      </c>
      <c r="E24">
        <f t="shared" si="1"/>
        <v>70.745262069365168</v>
      </c>
      <c r="F24">
        <f t="shared" si="1"/>
        <v>1.7851728502481645</v>
      </c>
      <c r="G24">
        <f t="shared" si="1"/>
        <v>3.5187799871847263</v>
      </c>
      <c r="M24" t="s">
        <v>37</v>
      </c>
      <c r="N24">
        <v>0</v>
      </c>
      <c r="O24" t="s">
        <v>22</v>
      </c>
      <c r="P24">
        <v>8</v>
      </c>
      <c r="Q24" t="s">
        <v>22</v>
      </c>
    </row>
    <row r="25" spans="1:28" x14ac:dyDescent="0.35">
      <c r="M25" t="s">
        <v>38</v>
      </c>
      <c r="N25">
        <v>0</v>
      </c>
      <c r="O25" t="s">
        <v>22</v>
      </c>
      <c r="P25">
        <v>9</v>
      </c>
      <c r="Q25" t="s">
        <v>22</v>
      </c>
    </row>
    <row r="26" spans="1:28" x14ac:dyDescent="0.35">
      <c r="M26" t="s">
        <v>39</v>
      </c>
      <c r="N26">
        <v>2</v>
      </c>
      <c r="O26" t="s">
        <v>22</v>
      </c>
      <c r="P26">
        <v>9</v>
      </c>
      <c r="Q26">
        <v>3</v>
      </c>
      <c r="R26">
        <v>9</v>
      </c>
      <c r="S26" t="s">
        <v>22</v>
      </c>
      <c r="T26">
        <v>122</v>
      </c>
      <c r="U26">
        <v>450</v>
      </c>
    </row>
    <row r="27" spans="1:28" x14ac:dyDescent="0.35">
      <c r="M27" t="s">
        <v>40</v>
      </c>
      <c r="N27">
        <v>0</v>
      </c>
      <c r="O27" t="s">
        <v>22</v>
      </c>
      <c r="P27">
        <v>10</v>
      </c>
      <c r="Q27" t="s">
        <v>22</v>
      </c>
    </row>
    <row r="28" spans="1:28" x14ac:dyDescent="0.35">
      <c r="M28" t="s">
        <v>41</v>
      </c>
      <c r="N28">
        <v>0</v>
      </c>
      <c r="O28" t="s">
        <v>22</v>
      </c>
      <c r="P28">
        <v>10</v>
      </c>
      <c r="Q28" t="s">
        <v>22</v>
      </c>
    </row>
    <row r="29" spans="1:28" x14ac:dyDescent="0.35">
      <c r="M29" t="s">
        <v>42</v>
      </c>
      <c r="N29" t="s">
        <v>43</v>
      </c>
    </row>
    <row r="30" spans="1:28" x14ac:dyDescent="0.35">
      <c r="M30" t="s">
        <v>8</v>
      </c>
    </row>
    <row r="31" spans="1:28" x14ac:dyDescent="0.35">
      <c r="M31" t="s">
        <v>44</v>
      </c>
      <c r="N31">
        <v>2</v>
      </c>
      <c r="O31" t="s">
        <v>22</v>
      </c>
      <c r="P31" t="s">
        <v>45</v>
      </c>
      <c r="Q31">
        <v>15</v>
      </c>
      <c r="R31" t="s">
        <v>22</v>
      </c>
      <c r="S31" t="s">
        <v>46</v>
      </c>
      <c r="T31" t="s">
        <v>47</v>
      </c>
      <c r="U31" t="s">
        <v>22</v>
      </c>
      <c r="V31">
        <v>8</v>
      </c>
      <c r="W31" t="s">
        <v>48</v>
      </c>
      <c r="X31">
        <v>10</v>
      </c>
      <c r="Y31" t="s">
        <v>22</v>
      </c>
      <c r="Z31" t="s">
        <v>49</v>
      </c>
      <c r="AA31" t="s">
        <v>22</v>
      </c>
      <c r="AB31" t="s">
        <v>94</v>
      </c>
    </row>
    <row r="32" spans="1:28" x14ac:dyDescent="0.35">
      <c r="M32" t="s">
        <v>44</v>
      </c>
      <c r="N32">
        <v>49</v>
      </c>
      <c r="O32" t="s">
        <v>22</v>
      </c>
      <c r="P32" t="s">
        <v>45</v>
      </c>
      <c r="Q32">
        <v>1</v>
      </c>
      <c r="R32" t="s">
        <v>22</v>
      </c>
      <c r="S32" t="s">
        <v>46</v>
      </c>
      <c r="T32" t="s">
        <v>50</v>
      </c>
      <c r="U32" t="s">
        <v>22</v>
      </c>
      <c r="V32">
        <v>4</v>
      </c>
      <c r="W32" t="s">
        <v>48</v>
      </c>
      <c r="X32">
        <v>1</v>
      </c>
      <c r="Y32" t="s">
        <v>22</v>
      </c>
      <c r="Z32" t="s">
        <v>49</v>
      </c>
      <c r="AA32" t="s">
        <v>22</v>
      </c>
      <c r="AB32" t="s">
        <v>95</v>
      </c>
    </row>
    <row r="33" spans="13:28" x14ac:dyDescent="0.35">
      <c r="M33" t="s">
        <v>44</v>
      </c>
      <c r="N33">
        <v>58</v>
      </c>
      <c r="O33" t="s">
        <v>22</v>
      </c>
      <c r="P33" t="s">
        <v>45</v>
      </c>
      <c r="Q33">
        <v>8</v>
      </c>
      <c r="R33" t="s">
        <v>22</v>
      </c>
      <c r="S33" t="s">
        <v>46</v>
      </c>
      <c r="T33" t="s">
        <v>50</v>
      </c>
      <c r="U33" t="s">
        <v>22</v>
      </c>
      <c r="V33">
        <v>1</v>
      </c>
      <c r="W33" t="s">
        <v>48</v>
      </c>
      <c r="X33">
        <v>4</v>
      </c>
      <c r="Y33" t="s">
        <v>22</v>
      </c>
      <c r="Z33" t="s">
        <v>49</v>
      </c>
      <c r="AA33" t="s">
        <v>22</v>
      </c>
      <c r="AB33" t="s">
        <v>96</v>
      </c>
    </row>
    <row r="34" spans="13:28" x14ac:dyDescent="0.35">
      <c r="M34" t="s">
        <v>44</v>
      </c>
      <c r="N34">
        <v>17</v>
      </c>
      <c r="O34" t="s">
        <v>22</v>
      </c>
      <c r="P34" t="s">
        <v>45</v>
      </c>
      <c r="Q34">
        <v>18</v>
      </c>
      <c r="R34" t="s">
        <v>22</v>
      </c>
      <c r="S34" t="s">
        <v>46</v>
      </c>
      <c r="T34" t="s">
        <v>47</v>
      </c>
      <c r="U34" t="s">
        <v>22</v>
      </c>
      <c r="V34">
        <v>9</v>
      </c>
      <c r="W34" t="s">
        <v>48</v>
      </c>
      <c r="X34">
        <v>3</v>
      </c>
      <c r="Y34" t="s">
        <v>22</v>
      </c>
      <c r="Z34" t="s">
        <v>49</v>
      </c>
      <c r="AA34" t="s">
        <v>22</v>
      </c>
      <c r="AB34" t="s">
        <v>97</v>
      </c>
    </row>
    <row r="35" spans="13:28" x14ac:dyDescent="0.35">
      <c r="M35" t="s">
        <v>44</v>
      </c>
      <c r="N35">
        <v>42</v>
      </c>
      <c r="O35" t="s">
        <v>22</v>
      </c>
      <c r="P35" t="s">
        <v>45</v>
      </c>
      <c r="Q35">
        <v>1</v>
      </c>
      <c r="R35" t="s">
        <v>22</v>
      </c>
      <c r="S35" t="s">
        <v>46</v>
      </c>
      <c r="T35" t="s">
        <v>47</v>
      </c>
      <c r="U35" t="s">
        <v>22</v>
      </c>
      <c r="V35">
        <v>1</v>
      </c>
      <c r="W35" t="s">
        <v>48</v>
      </c>
      <c r="X35">
        <v>4</v>
      </c>
      <c r="Y35" t="s">
        <v>22</v>
      </c>
      <c r="Z35" t="s">
        <v>51</v>
      </c>
      <c r="AA35" t="s">
        <v>22</v>
      </c>
      <c r="AB35" t="s">
        <v>98</v>
      </c>
    </row>
    <row r="36" spans="13:28" x14ac:dyDescent="0.35">
      <c r="M36" t="s">
        <v>44</v>
      </c>
      <c r="N36">
        <v>20</v>
      </c>
      <c r="O36" t="s">
        <v>22</v>
      </c>
      <c r="P36" t="s">
        <v>45</v>
      </c>
      <c r="Q36">
        <v>8</v>
      </c>
      <c r="R36" t="s">
        <v>22</v>
      </c>
      <c r="S36" t="s">
        <v>46</v>
      </c>
      <c r="T36" t="s">
        <v>47</v>
      </c>
      <c r="U36" t="s">
        <v>22</v>
      </c>
      <c r="V36">
        <v>4</v>
      </c>
      <c r="W36" t="s">
        <v>48</v>
      </c>
      <c r="X36">
        <v>1</v>
      </c>
      <c r="Y36" t="s">
        <v>22</v>
      </c>
      <c r="Z36" t="s">
        <v>51</v>
      </c>
      <c r="AA36" t="s">
        <v>22</v>
      </c>
      <c r="AB36" t="s">
        <v>83</v>
      </c>
    </row>
    <row r="37" spans="13:28" x14ac:dyDescent="0.35">
      <c r="M37" t="s">
        <v>44</v>
      </c>
      <c r="N37">
        <v>33</v>
      </c>
      <c r="O37" t="s">
        <v>22</v>
      </c>
      <c r="P37" t="s">
        <v>45</v>
      </c>
      <c r="Q37">
        <v>15</v>
      </c>
      <c r="R37" t="s">
        <v>22</v>
      </c>
      <c r="S37" t="s">
        <v>46</v>
      </c>
      <c r="T37" t="s">
        <v>50</v>
      </c>
      <c r="U37" t="s">
        <v>22</v>
      </c>
      <c r="V37">
        <v>10</v>
      </c>
      <c r="W37" t="s">
        <v>48</v>
      </c>
      <c r="X37">
        <v>8</v>
      </c>
      <c r="Y37" t="s">
        <v>22</v>
      </c>
      <c r="Z37" t="s">
        <v>53</v>
      </c>
      <c r="AA37" t="s">
        <v>22</v>
      </c>
      <c r="AB37" t="s">
        <v>99</v>
      </c>
    </row>
    <row r="38" spans="13:28" x14ac:dyDescent="0.35">
      <c r="M38" t="s">
        <v>44</v>
      </c>
      <c r="N38">
        <v>43</v>
      </c>
      <c r="O38" t="s">
        <v>22</v>
      </c>
      <c r="P38" t="s">
        <v>45</v>
      </c>
      <c r="Q38">
        <v>6</v>
      </c>
      <c r="R38" t="s">
        <v>22</v>
      </c>
      <c r="S38" t="s">
        <v>46</v>
      </c>
      <c r="T38" t="s">
        <v>50</v>
      </c>
      <c r="U38" t="s">
        <v>22</v>
      </c>
      <c r="V38">
        <v>5</v>
      </c>
      <c r="W38" t="s">
        <v>48</v>
      </c>
      <c r="X38">
        <v>3</v>
      </c>
      <c r="Y38" t="s">
        <v>22</v>
      </c>
      <c r="Z38" t="s">
        <v>53</v>
      </c>
      <c r="AA38" t="s">
        <v>22</v>
      </c>
      <c r="AB38" t="s">
        <v>100</v>
      </c>
    </row>
    <row r="39" spans="13:28" x14ac:dyDescent="0.35">
      <c r="M39" t="s">
        <v>9</v>
      </c>
    </row>
    <row r="40" spans="13:28" x14ac:dyDescent="0.35">
      <c r="M40" t="s">
        <v>10</v>
      </c>
    </row>
    <row r="42" spans="13:28" x14ac:dyDescent="0.35">
      <c r="M42" t="s">
        <v>54</v>
      </c>
      <c r="N42">
        <v>1</v>
      </c>
    </row>
    <row r="43" spans="13:28" x14ac:dyDescent="0.35">
      <c r="M43" t="s">
        <v>11</v>
      </c>
    </row>
    <row r="44" spans="13:28" x14ac:dyDescent="0.35">
      <c r="M44" t="s">
        <v>55</v>
      </c>
      <c r="N44" t="s">
        <v>56</v>
      </c>
      <c r="O44" t="s">
        <v>57</v>
      </c>
      <c r="P44" t="s">
        <v>58</v>
      </c>
      <c r="Q44" t="s">
        <v>59</v>
      </c>
      <c r="R44" t="s">
        <v>60</v>
      </c>
      <c r="S44" t="s">
        <v>61</v>
      </c>
    </row>
    <row r="45" spans="13:28" x14ac:dyDescent="0.35">
      <c r="M45" t="s">
        <v>11</v>
      </c>
    </row>
    <row r="46" spans="13:28" x14ac:dyDescent="0.35">
      <c r="M46">
        <v>1</v>
      </c>
      <c r="N46">
        <v>1</v>
      </c>
      <c r="O46">
        <v>4</v>
      </c>
      <c r="P46">
        <v>586</v>
      </c>
      <c r="Q46">
        <v>616</v>
      </c>
      <c r="R46">
        <v>30</v>
      </c>
      <c r="S46">
        <v>0</v>
      </c>
    </row>
    <row r="47" spans="13:28" x14ac:dyDescent="0.35">
      <c r="M47">
        <v>2</v>
      </c>
      <c r="N47">
        <v>4</v>
      </c>
      <c r="O47">
        <v>1</v>
      </c>
      <c r="P47">
        <v>646</v>
      </c>
      <c r="Q47">
        <v>676</v>
      </c>
      <c r="R47">
        <v>30</v>
      </c>
      <c r="S47">
        <v>0</v>
      </c>
    </row>
    <row r="49" spans="13:19" x14ac:dyDescent="0.35">
      <c r="M49" t="s">
        <v>54</v>
      </c>
      <c r="N49">
        <v>6</v>
      </c>
    </row>
    <row r="50" spans="13:19" x14ac:dyDescent="0.35">
      <c r="M50" t="s">
        <v>11</v>
      </c>
    </row>
    <row r="51" spans="13:19" x14ac:dyDescent="0.35">
      <c r="M51" t="s">
        <v>55</v>
      </c>
      <c r="N51" t="s">
        <v>56</v>
      </c>
      <c r="O51" t="s">
        <v>57</v>
      </c>
      <c r="P51" t="s">
        <v>58</v>
      </c>
      <c r="Q51" t="s">
        <v>59</v>
      </c>
      <c r="R51" t="s">
        <v>60</v>
      </c>
      <c r="S51" t="s">
        <v>61</v>
      </c>
    </row>
    <row r="52" spans="13:19" x14ac:dyDescent="0.35">
      <c r="M52" t="s">
        <v>11</v>
      </c>
    </row>
    <row r="53" spans="13:19" x14ac:dyDescent="0.35">
      <c r="M53">
        <v>1</v>
      </c>
      <c r="N53">
        <v>3</v>
      </c>
      <c r="O53">
        <v>5</v>
      </c>
      <c r="P53">
        <v>0</v>
      </c>
      <c r="Q53">
        <v>13</v>
      </c>
      <c r="R53">
        <v>13</v>
      </c>
      <c r="S53">
        <v>4</v>
      </c>
    </row>
    <row r="54" spans="13:19" x14ac:dyDescent="0.35">
      <c r="M54">
        <v>2</v>
      </c>
      <c r="N54">
        <v>5</v>
      </c>
      <c r="O54">
        <v>3</v>
      </c>
      <c r="P54">
        <v>607</v>
      </c>
      <c r="Q54">
        <v>620</v>
      </c>
      <c r="R54">
        <v>13</v>
      </c>
      <c r="S54">
        <v>2</v>
      </c>
    </row>
    <row r="56" spans="13:19" x14ac:dyDescent="0.35">
      <c r="M56" t="s">
        <v>54</v>
      </c>
      <c r="N56">
        <v>8</v>
      </c>
    </row>
    <row r="57" spans="13:19" x14ac:dyDescent="0.35">
      <c r="M57" t="s">
        <v>11</v>
      </c>
    </row>
    <row r="58" spans="13:19" x14ac:dyDescent="0.35">
      <c r="M58" t="s">
        <v>55</v>
      </c>
      <c r="N58" t="s">
        <v>56</v>
      </c>
      <c r="O58" t="s">
        <v>57</v>
      </c>
      <c r="P58" t="s">
        <v>58</v>
      </c>
      <c r="Q58" t="s">
        <v>59</v>
      </c>
      <c r="R58" t="s">
        <v>60</v>
      </c>
      <c r="S58" t="s">
        <v>61</v>
      </c>
    </row>
    <row r="59" spans="13:19" x14ac:dyDescent="0.35">
      <c r="M59" t="s">
        <v>11</v>
      </c>
    </row>
    <row r="60" spans="13:19" x14ac:dyDescent="0.35">
      <c r="M60">
        <v>1</v>
      </c>
      <c r="N60">
        <v>4</v>
      </c>
      <c r="O60">
        <v>1</v>
      </c>
      <c r="P60">
        <v>145</v>
      </c>
      <c r="Q60">
        <v>175</v>
      </c>
      <c r="R60">
        <v>30</v>
      </c>
      <c r="S60">
        <v>1</v>
      </c>
    </row>
    <row r="61" spans="13:19" x14ac:dyDescent="0.35">
      <c r="M61">
        <v>2</v>
      </c>
      <c r="N61">
        <v>1</v>
      </c>
      <c r="O61">
        <v>4</v>
      </c>
      <c r="P61">
        <v>741</v>
      </c>
      <c r="Q61">
        <v>771</v>
      </c>
      <c r="R61">
        <v>30</v>
      </c>
      <c r="S61">
        <v>0</v>
      </c>
    </row>
    <row r="63" spans="13:19" x14ac:dyDescent="0.35">
      <c r="M63" t="s">
        <v>54</v>
      </c>
      <c r="N63">
        <v>10</v>
      </c>
    </row>
    <row r="64" spans="13:19" x14ac:dyDescent="0.35">
      <c r="M64" t="s">
        <v>11</v>
      </c>
    </row>
    <row r="65" spans="13:19" x14ac:dyDescent="0.35">
      <c r="M65" t="s">
        <v>55</v>
      </c>
      <c r="N65" t="s">
        <v>56</v>
      </c>
      <c r="O65" t="s">
        <v>57</v>
      </c>
      <c r="P65" t="s">
        <v>58</v>
      </c>
      <c r="Q65" t="s">
        <v>59</v>
      </c>
      <c r="R65" t="s">
        <v>60</v>
      </c>
      <c r="S65" t="s">
        <v>61</v>
      </c>
    </row>
    <row r="66" spans="13:19" x14ac:dyDescent="0.35">
      <c r="M66" t="s">
        <v>11</v>
      </c>
    </row>
    <row r="67" spans="13:19" x14ac:dyDescent="0.35">
      <c r="M67">
        <v>1</v>
      </c>
      <c r="N67">
        <v>5</v>
      </c>
      <c r="O67">
        <v>3</v>
      </c>
      <c r="P67">
        <v>609</v>
      </c>
      <c r="Q67">
        <v>622</v>
      </c>
      <c r="R67">
        <v>13</v>
      </c>
      <c r="S67">
        <v>4</v>
      </c>
    </row>
    <row r="68" spans="13:19" x14ac:dyDescent="0.35">
      <c r="M68">
        <v>2</v>
      </c>
      <c r="N68">
        <v>3</v>
      </c>
      <c r="O68">
        <v>5</v>
      </c>
      <c r="P68">
        <v>652</v>
      </c>
      <c r="Q68">
        <v>665</v>
      </c>
      <c r="R68">
        <v>13</v>
      </c>
      <c r="S68">
        <v>4</v>
      </c>
    </row>
    <row r="70" spans="13:19" x14ac:dyDescent="0.35">
      <c r="M70" t="s">
        <v>54</v>
      </c>
      <c r="N70">
        <v>15</v>
      </c>
    </row>
    <row r="71" spans="13:19" x14ac:dyDescent="0.35">
      <c r="M71" t="s">
        <v>11</v>
      </c>
    </row>
    <row r="72" spans="13:19" x14ac:dyDescent="0.35">
      <c r="M72" t="s">
        <v>55</v>
      </c>
      <c r="N72" t="s">
        <v>56</v>
      </c>
      <c r="O72" t="s">
        <v>57</v>
      </c>
      <c r="P72" t="s">
        <v>58</v>
      </c>
      <c r="Q72" t="s">
        <v>59</v>
      </c>
      <c r="R72" t="s">
        <v>60</v>
      </c>
      <c r="S72" t="s">
        <v>61</v>
      </c>
    </row>
    <row r="73" spans="13:19" x14ac:dyDescent="0.35">
      <c r="M73" t="s">
        <v>11</v>
      </c>
    </row>
    <row r="74" spans="13:19" x14ac:dyDescent="0.35">
      <c r="M74">
        <v>1</v>
      </c>
      <c r="N74">
        <v>8</v>
      </c>
      <c r="O74">
        <v>10</v>
      </c>
      <c r="P74">
        <v>42</v>
      </c>
      <c r="Q74">
        <v>77</v>
      </c>
      <c r="R74">
        <v>35</v>
      </c>
      <c r="S74">
        <v>0</v>
      </c>
    </row>
    <row r="75" spans="13:19" x14ac:dyDescent="0.35">
      <c r="M75">
        <v>2</v>
      </c>
      <c r="N75">
        <v>10</v>
      </c>
      <c r="O75">
        <v>8</v>
      </c>
      <c r="P75">
        <v>470</v>
      </c>
      <c r="Q75">
        <v>505</v>
      </c>
      <c r="R75">
        <v>35</v>
      </c>
      <c r="S75">
        <v>2</v>
      </c>
    </row>
    <row r="77" spans="13:19" x14ac:dyDescent="0.35">
      <c r="M77" t="s">
        <v>54</v>
      </c>
      <c r="N77">
        <v>18</v>
      </c>
    </row>
    <row r="78" spans="13:19" x14ac:dyDescent="0.35">
      <c r="M78" t="s">
        <v>11</v>
      </c>
    </row>
    <row r="79" spans="13:19" x14ac:dyDescent="0.35">
      <c r="M79" t="s">
        <v>55</v>
      </c>
      <c r="N79" t="s">
        <v>56</v>
      </c>
      <c r="O79" t="s">
        <v>57</v>
      </c>
      <c r="P79" t="s">
        <v>58</v>
      </c>
      <c r="Q79" t="s">
        <v>59</v>
      </c>
      <c r="R79" t="s">
        <v>60</v>
      </c>
      <c r="S79" t="s">
        <v>61</v>
      </c>
    </row>
    <row r="80" spans="13:19" x14ac:dyDescent="0.35">
      <c r="M80" t="s">
        <v>11</v>
      </c>
    </row>
    <row r="81" spans="13:19" x14ac:dyDescent="0.35">
      <c r="M81">
        <v>1</v>
      </c>
      <c r="N81">
        <v>9</v>
      </c>
      <c r="O81">
        <v>3</v>
      </c>
      <c r="P81">
        <v>122</v>
      </c>
      <c r="Q81">
        <v>150</v>
      </c>
      <c r="R81">
        <v>28</v>
      </c>
      <c r="S81">
        <v>0</v>
      </c>
    </row>
    <row r="82" spans="13:19" x14ac:dyDescent="0.35">
      <c r="M82">
        <v>2</v>
      </c>
      <c r="N82">
        <v>3</v>
      </c>
      <c r="O82">
        <v>9</v>
      </c>
      <c r="P82">
        <v>600</v>
      </c>
      <c r="Q82">
        <v>628</v>
      </c>
      <c r="R82">
        <v>28</v>
      </c>
      <c r="S82">
        <v>4</v>
      </c>
    </row>
    <row r="84" spans="13:19" x14ac:dyDescent="0.35">
      <c r="M84" t="s">
        <v>62</v>
      </c>
      <c r="N84" t="s">
        <v>63</v>
      </c>
      <c r="O84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530A-20C1-4581-8DB4-4D94910024C1}">
  <dimension ref="A1:AB81"/>
  <sheetViews>
    <sheetView topLeftCell="A7" zoomScale="101" workbookViewId="0">
      <selection activeCell="N58" sqref="N58"/>
    </sheetView>
  </sheetViews>
  <sheetFormatPr defaultRowHeight="14.5" x14ac:dyDescent="0.35"/>
  <cols>
    <col min="6" max="6" width="25.269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1" x14ac:dyDescent="0.35">
      <c r="A2">
        <v>1</v>
      </c>
      <c r="B2">
        <v>-4469.9306282453799</v>
      </c>
      <c r="C2">
        <v>13830.0693717546</v>
      </c>
      <c r="D2">
        <v>0.15641025641025599</v>
      </c>
      <c r="E2">
        <v>19</v>
      </c>
      <c r="F2">
        <v>2</v>
      </c>
      <c r="G2">
        <v>11.5</v>
      </c>
    </row>
    <row r="3" spans="1:21" x14ac:dyDescent="0.35">
      <c r="A3">
        <v>2</v>
      </c>
      <c r="B3">
        <v>4544.1243040911704</v>
      </c>
      <c r="C3">
        <v>21064.124304091099</v>
      </c>
      <c r="D3">
        <v>0.239102564102564</v>
      </c>
      <c r="E3">
        <v>29</v>
      </c>
      <c r="F3">
        <v>6</v>
      </c>
      <c r="G3">
        <v>9.8333333333333304</v>
      </c>
    </row>
    <row r="4" spans="1:21" x14ac:dyDescent="0.35">
      <c r="A4">
        <v>3</v>
      </c>
      <c r="B4">
        <v>-9644.6233128310105</v>
      </c>
      <c r="C4">
        <v>7015.3766871689804</v>
      </c>
      <c r="D4">
        <v>0.15128205128205099</v>
      </c>
      <c r="E4">
        <v>0</v>
      </c>
      <c r="F4">
        <v>2</v>
      </c>
      <c r="G4">
        <v>0</v>
      </c>
    </row>
    <row r="5" spans="1:21" x14ac:dyDescent="0.35">
      <c r="A5">
        <v>4</v>
      </c>
      <c r="B5">
        <v>-7829.8168376582198</v>
      </c>
      <c r="C5">
        <v>9770.1831623417693</v>
      </c>
      <c r="D5">
        <v>0.30801282051281997</v>
      </c>
      <c r="E5">
        <v>23</v>
      </c>
      <c r="F5">
        <v>4</v>
      </c>
      <c r="G5">
        <v>4</v>
      </c>
    </row>
    <row r="6" spans="1:21" x14ac:dyDescent="0.35">
      <c r="A6">
        <v>5</v>
      </c>
      <c r="B6">
        <v>3974.7503742779099</v>
      </c>
      <c r="C6">
        <v>19434.750374277901</v>
      </c>
      <c r="D6">
        <v>0.253846153846153</v>
      </c>
      <c r="E6">
        <v>25</v>
      </c>
      <c r="F6">
        <v>7</v>
      </c>
      <c r="G6">
        <v>12</v>
      </c>
    </row>
    <row r="7" spans="1:21" x14ac:dyDescent="0.35">
      <c r="A7">
        <v>6</v>
      </c>
      <c r="B7">
        <v>-5700.2469517296104</v>
      </c>
      <c r="C7">
        <v>10599.7530482703</v>
      </c>
      <c r="D7">
        <v>0.205448717948717</v>
      </c>
      <c r="E7">
        <v>34</v>
      </c>
      <c r="F7">
        <v>5</v>
      </c>
      <c r="G7">
        <v>9.1999999999999993</v>
      </c>
      <c r="M7" t="s">
        <v>12</v>
      </c>
      <c r="N7" t="s">
        <v>13</v>
      </c>
      <c r="O7" t="s">
        <v>14</v>
      </c>
      <c r="P7" t="s">
        <v>15</v>
      </c>
    </row>
    <row r="8" spans="1:21" x14ac:dyDescent="0.35">
      <c r="A8">
        <v>7</v>
      </c>
      <c r="B8">
        <v>-8057.7651917470303</v>
      </c>
      <c r="C8">
        <v>8242.2348082529606</v>
      </c>
      <c r="D8">
        <v>0.19407051282051199</v>
      </c>
      <c r="E8">
        <v>41</v>
      </c>
      <c r="F8">
        <v>5</v>
      </c>
      <c r="G8">
        <v>6.2</v>
      </c>
      <c r="M8" t="s">
        <v>16</v>
      </c>
      <c r="N8" t="s">
        <v>17</v>
      </c>
      <c r="O8">
        <v>4544.1243040911704</v>
      </c>
    </row>
    <row r="9" spans="1:21" x14ac:dyDescent="0.35">
      <c r="A9">
        <v>8</v>
      </c>
      <c r="B9">
        <v>-5137.33895097193</v>
      </c>
      <c r="C9">
        <v>12122.661049028</v>
      </c>
      <c r="D9">
        <v>0.21025641025641001</v>
      </c>
      <c r="E9">
        <v>0</v>
      </c>
      <c r="F9">
        <v>3</v>
      </c>
      <c r="G9">
        <v>2.6666666666666599</v>
      </c>
      <c r="M9" t="s">
        <v>18</v>
      </c>
      <c r="N9" t="s">
        <v>17</v>
      </c>
      <c r="O9">
        <v>21064.124304091099</v>
      </c>
    </row>
    <row r="10" spans="1:21" x14ac:dyDescent="0.35">
      <c r="A10">
        <v>9</v>
      </c>
      <c r="B10">
        <v>-16290.2826593913</v>
      </c>
      <c r="C10">
        <v>849.717340608629</v>
      </c>
      <c r="D10">
        <v>0.125641025641025</v>
      </c>
      <c r="E10">
        <v>24</v>
      </c>
      <c r="F10">
        <v>3</v>
      </c>
      <c r="G10">
        <v>8</v>
      </c>
      <c r="M10" t="s">
        <v>19</v>
      </c>
      <c r="N10" t="s">
        <v>20</v>
      </c>
    </row>
    <row r="11" spans="1:21" x14ac:dyDescent="0.35">
      <c r="A11">
        <v>10</v>
      </c>
      <c r="B11">
        <v>-2624.4197224930999</v>
      </c>
      <c r="C11">
        <v>14175.5802775068</v>
      </c>
      <c r="D11">
        <v>0.24839743589743499</v>
      </c>
      <c r="E11">
        <v>29</v>
      </c>
      <c r="F11">
        <v>7</v>
      </c>
      <c r="G11">
        <v>11.857142857142801</v>
      </c>
      <c r="M11" t="s">
        <v>7</v>
      </c>
    </row>
    <row r="12" spans="1:21" x14ac:dyDescent="0.35">
      <c r="A12">
        <v>11</v>
      </c>
      <c r="B12">
        <v>-5326.7604272769504</v>
      </c>
      <c r="C12">
        <v>11873.239572723</v>
      </c>
      <c r="D12">
        <v>0.12548076923076901</v>
      </c>
      <c r="E12">
        <v>16</v>
      </c>
      <c r="F12">
        <v>3</v>
      </c>
      <c r="G12">
        <v>12</v>
      </c>
      <c r="M12" t="s">
        <v>21</v>
      </c>
      <c r="N12">
        <v>2</v>
      </c>
      <c r="O12" t="s">
        <v>22</v>
      </c>
      <c r="P12">
        <v>1</v>
      </c>
      <c r="Q12">
        <v>8</v>
      </c>
      <c r="R12">
        <v>10</v>
      </c>
      <c r="S12" t="s">
        <v>22</v>
      </c>
      <c r="T12">
        <v>30</v>
      </c>
      <c r="U12">
        <v>142</v>
      </c>
    </row>
    <row r="13" spans="1:21" x14ac:dyDescent="0.35">
      <c r="A13">
        <v>12</v>
      </c>
      <c r="B13">
        <v>-3371.9961802180401</v>
      </c>
      <c r="C13">
        <v>13828.003819781899</v>
      </c>
      <c r="D13">
        <v>0.14903846153846101</v>
      </c>
      <c r="E13">
        <v>0</v>
      </c>
      <c r="F13">
        <v>4</v>
      </c>
      <c r="G13">
        <v>1.5</v>
      </c>
      <c r="M13" t="s">
        <v>23</v>
      </c>
      <c r="N13">
        <v>0</v>
      </c>
      <c r="O13" t="s">
        <v>22</v>
      </c>
      <c r="P13">
        <v>1</v>
      </c>
      <c r="Q13" t="s">
        <v>22</v>
      </c>
    </row>
    <row r="14" spans="1:21" x14ac:dyDescent="0.35">
      <c r="A14">
        <v>13</v>
      </c>
      <c r="B14">
        <v>654.76079237360295</v>
      </c>
      <c r="C14">
        <v>18254.7607923736</v>
      </c>
      <c r="D14">
        <v>0.316346153846153</v>
      </c>
      <c r="E14">
        <v>0</v>
      </c>
      <c r="F14">
        <v>5</v>
      </c>
      <c r="G14">
        <v>6.8</v>
      </c>
      <c r="M14" t="s">
        <v>24</v>
      </c>
      <c r="N14">
        <v>1</v>
      </c>
      <c r="O14" t="s">
        <v>22</v>
      </c>
      <c r="P14">
        <v>2</v>
      </c>
      <c r="Q14">
        <v>5</v>
      </c>
      <c r="R14" t="s">
        <v>22</v>
      </c>
      <c r="S14">
        <v>30</v>
      </c>
    </row>
    <row r="15" spans="1:21" x14ac:dyDescent="0.35">
      <c r="A15">
        <v>14</v>
      </c>
      <c r="B15">
        <v>-4291.5083236965402</v>
      </c>
      <c r="C15">
        <v>12108.4916763034</v>
      </c>
      <c r="D15">
        <v>0.20512820512820501</v>
      </c>
      <c r="E15">
        <v>0</v>
      </c>
      <c r="F15">
        <v>3</v>
      </c>
      <c r="G15">
        <v>0</v>
      </c>
      <c r="M15" t="s">
        <v>25</v>
      </c>
      <c r="N15">
        <v>0</v>
      </c>
      <c r="O15" t="s">
        <v>22</v>
      </c>
      <c r="P15">
        <v>2</v>
      </c>
      <c r="Q15" t="s">
        <v>22</v>
      </c>
    </row>
    <row r="16" spans="1:21" x14ac:dyDescent="0.35">
      <c r="A16">
        <v>15</v>
      </c>
      <c r="B16">
        <v>-15936.6045829711</v>
      </c>
      <c r="C16">
        <v>1183.39541702886</v>
      </c>
      <c r="D16">
        <v>0.14607371794871701</v>
      </c>
      <c r="E16">
        <v>81</v>
      </c>
      <c r="F16">
        <v>6</v>
      </c>
      <c r="G16">
        <v>7.6666666666666599</v>
      </c>
      <c r="M16" t="s">
        <v>26</v>
      </c>
      <c r="N16">
        <v>1</v>
      </c>
      <c r="O16" t="s">
        <v>22</v>
      </c>
      <c r="P16">
        <v>3</v>
      </c>
      <c r="Q16">
        <v>10</v>
      </c>
      <c r="R16" t="s">
        <v>22</v>
      </c>
      <c r="S16">
        <v>513</v>
      </c>
    </row>
    <row r="17" spans="1:21" x14ac:dyDescent="0.35">
      <c r="A17">
        <v>16</v>
      </c>
      <c r="B17">
        <v>-6146.6230901090203</v>
      </c>
      <c r="C17">
        <v>10853.3769098909</v>
      </c>
      <c r="D17">
        <v>0.15384615384615299</v>
      </c>
      <c r="E17">
        <v>0</v>
      </c>
      <c r="F17">
        <v>2</v>
      </c>
      <c r="G17">
        <v>5</v>
      </c>
      <c r="M17" t="s">
        <v>27</v>
      </c>
      <c r="N17">
        <v>0</v>
      </c>
      <c r="O17" t="s">
        <v>22</v>
      </c>
      <c r="P17">
        <v>3</v>
      </c>
      <c r="Q17" t="s">
        <v>22</v>
      </c>
    </row>
    <row r="18" spans="1:21" x14ac:dyDescent="0.35">
      <c r="A18">
        <v>17</v>
      </c>
      <c r="B18">
        <v>-5182.78953566154</v>
      </c>
      <c r="C18">
        <v>11777.210464338399</v>
      </c>
      <c r="D18">
        <v>0.300961538461538</v>
      </c>
      <c r="E18">
        <v>0</v>
      </c>
      <c r="F18">
        <v>5</v>
      </c>
      <c r="G18">
        <v>3.6</v>
      </c>
      <c r="M18" t="s">
        <v>28</v>
      </c>
      <c r="N18">
        <v>0</v>
      </c>
      <c r="O18" t="s">
        <v>22</v>
      </c>
      <c r="P18">
        <v>4</v>
      </c>
      <c r="Q18" t="s">
        <v>22</v>
      </c>
    </row>
    <row r="19" spans="1:21" x14ac:dyDescent="0.35">
      <c r="A19">
        <v>18</v>
      </c>
      <c r="B19">
        <v>-10511.623090109</v>
      </c>
      <c r="C19">
        <v>7988.3769098909697</v>
      </c>
      <c r="D19">
        <v>0.15384615384615299</v>
      </c>
      <c r="E19">
        <v>0</v>
      </c>
      <c r="F19">
        <v>2</v>
      </c>
      <c r="G19">
        <v>0</v>
      </c>
      <c r="M19" t="s">
        <v>29</v>
      </c>
      <c r="N19">
        <v>0</v>
      </c>
      <c r="O19" t="s">
        <v>22</v>
      </c>
      <c r="P19">
        <v>4</v>
      </c>
      <c r="Q19" t="s">
        <v>22</v>
      </c>
    </row>
    <row r="20" spans="1:21" x14ac:dyDescent="0.35">
      <c r="A20">
        <v>19</v>
      </c>
      <c r="B20">
        <v>-8536.2316855879708</v>
      </c>
      <c r="C20">
        <v>7563.7683144120201</v>
      </c>
      <c r="D20">
        <v>0.27564102564102499</v>
      </c>
      <c r="E20">
        <v>0</v>
      </c>
      <c r="F20">
        <v>4</v>
      </c>
      <c r="G20">
        <v>9.5</v>
      </c>
      <c r="M20" t="s">
        <v>30</v>
      </c>
      <c r="N20">
        <v>1</v>
      </c>
      <c r="O20" t="s">
        <v>22</v>
      </c>
      <c r="P20">
        <v>5</v>
      </c>
      <c r="Q20">
        <v>6</v>
      </c>
      <c r="R20" t="s">
        <v>22</v>
      </c>
      <c r="S20">
        <v>520</v>
      </c>
    </row>
    <row r="21" spans="1:21" x14ac:dyDescent="0.35">
      <c r="A21">
        <v>20</v>
      </c>
      <c r="B21">
        <v>-16800.623312831001</v>
      </c>
      <c r="C21">
        <v>1659.37668716898</v>
      </c>
      <c r="D21">
        <v>0.114102564102564</v>
      </c>
      <c r="E21">
        <v>29</v>
      </c>
      <c r="F21">
        <v>1</v>
      </c>
      <c r="G21">
        <v>0</v>
      </c>
      <c r="M21" t="s">
        <v>31</v>
      </c>
      <c r="N21">
        <v>0</v>
      </c>
      <c r="O21" t="s">
        <v>22</v>
      </c>
      <c r="P21">
        <v>5</v>
      </c>
      <c r="Q21" t="s">
        <v>22</v>
      </c>
    </row>
    <row r="22" spans="1:21" x14ac:dyDescent="0.35">
      <c r="M22" t="s">
        <v>32</v>
      </c>
      <c r="N22">
        <v>2</v>
      </c>
      <c r="O22" t="s">
        <v>22</v>
      </c>
      <c r="P22">
        <v>6</v>
      </c>
      <c r="Q22">
        <v>3</v>
      </c>
      <c r="R22">
        <v>5</v>
      </c>
      <c r="S22" t="s">
        <v>22</v>
      </c>
      <c r="T22">
        <v>705</v>
      </c>
      <c r="U22">
        <v>30</v>
      </c>
    </row>
    <row r="23" spans="1:21" x14ac:dyDescent="0.35">
      <c r="A23" t="s">
        <v>92</v>
      </c>
      <c r="B23">
        <f>AVERAGE(B2:B21)</f>
        <v>-6334.2774506393034</v>
      </c>
      <c r="C23">
        <f t="shared" ref="C23:G23" si="0">AVERAGE(C2:C21)</f>
        <v>10709.722549360655</v>
      </c>
      <c r="D23">
        <f t="shared" si="0"/>
        <v>0.20164663461538401</v>
      </c>
      <c r="E23">
        <f t="shared" si="0"/>
        <v>17.5</v>
      </c>
      <c r="F23">
        <f t="shared" si="0"/>
        <v>3.95</v>
      </c>
      <c r="G23">
        <f t="shared" si="0"/>
        <v>6.0661904761904726</v>
      </c>
      <c r="M23" t="s">
        <v>33</v>
      </c>
      <c r="N23">
        <v>0</v>
      </c>
      <c r="O23" t="s">
        <v>22</v>
      </c>
      <c r="P23">
        <v>6</v>
      </c>
      <c r="Q23" t="s">
        <v>22</v>
      </c>
    </row>
    <row r="24" spans="1:21" x14ac:dyDescent="0.35">
      <c r="A24" t="s">
        <v>93</v>
      </c>
      <c r="B24">
        <f>_xlfn.STDEV.S(B2:B21)</f>
        <v>5836.3446051074725</v>
      </c>
      <c r="C24">
        <f t="shared" ref="C24:G24" si="1">_xlfn.STDEV.S(C2:C21)</f>
        <v>5553.6630208051529</v>
      </c>
      <c r="D24">
        <f t="shared" si="1"/>
        <v>6.5103383416860186E-2</v>
      </c>
      <c r="E24">
        <f t="shared" si="1"/>
        <v>20.702148375673985</v>
      </c>
      <c r="F24">
        <f t="shared" si="1"/>
        <v>1.7614288458371994</v>
      </c>
      <c r="G24">
        <f t="shared" si="1"/>
        <v>4.3963611280691168</v>
      </c>
      <c r="M24" t="s">
        <v>34</v>
      </c>
      <c r="N24">
        <v>0</v>
      </c>
      <c r="O24" t="s">
        <v>22</v>
      </c>
      <c r="P24">
        <v>7</v>
      </c>
      <c r="Q24" t="s">
        <v>22</v>
      </c>
    </row>
    <row r="25" spans="1:21" x14ac:dyDescent="0.35">
      <c r="M25" t="s">
        <v>35</v>
      </c>
      <c r="N25">
        <v>0</v>
      </c>
      <c r="O25" t="s">
        <v>22</v>
      </c>
      <c r="P25">
        <v>7</v>
      </c>
      <c r="Q25" t="s">
        <v>22</v>
      </c>
    </row>
    <row r="26" spans="1:21" x14ac:dyDescent="0.35">
      <c r="M26" t="s">
        <v>36</v>
      </c>
      <c r="N26">
        <v>0</v>
      </c>
      <c r="O26" t="s">
        <v>22</v>
      </c>
      <c r="P26">
        <v>8</v>
      </c>
      <c r="Q26" t="s">
        <v>22</v>
      </c>
    </row>
    <row r="27" spans="1:21" x14ac:dyDescent="0.35">
      <c r="M27" t="s">
        <v>37</v>
      </c>
      <c r="N27">
        <v>0</v>
      </c>
      <c r="O27" t="s">
        <v>22</v>
      </c>
      <c r="P27">
        <v>8</v>
      </c>
      <c r="Q27" t="s">
        <v>22</v>
      </c>
    </row>
    <row r="28" spans="1:21" x14ac:dyDescent="0.35">
      <c r="M28" t="s">
        <v>38</v>
      </c>
      <c r="N28">
        <v>0</v>
      </c>
      <c r="O28" t="s">
        <v>22</v>
      </c>
      <c r="P28">
        <v>9</v>
      </c>
      <c r="Q28" t="s">
        <v>22</v>
      </c>
    </row>
    <row r="29" spans="1:21" x14ac:dyDescent="0.35">
      <c r="M29" t="s">
        <v>39</v>
      </c>
      <c r="N29">
        <v>0</v>
      </c>
      <c r="O29" t="s">
        <v>22</v>
      </c>
      <c r="P29">
        <v>9</v>
      </c>
      <c r="Q29" t="s">
        <v>22</v>
      </c>
    </row>
    <row r="30" spans="1:21" x14ac:dyDescent="0.35">
      <c r="M30" t="s">
        <v>40</v>
      </c>
      <c r="N30">
        <v>0</v>
      </c>
      <c r="O30" t="s">
        <v>22</v>
      </c>
      <c r="P30">
        <v>10</v>
      </c>
      <c r="Q30" t="s">
        <v>22</v>
      </c>
    </row>
    <row r="31" spans="1:21" x14ac:dyDescent="0.35">
      <c r="M31" t="s">
        <v>41</v>
      </c>
      <c r="N31">
        <v>1</v>
      </c>
      <c r="O31" t="s">
        <v>22</v>
      </c>
      <c r="P31">
        <v>10</v>
      </c>
      <c r="Q31">
        <v>1</v>
      </c>
      <c r="R31" t="s">
        <v>22</v>
      </c>
      <c r="S31">
        <v>687</v>
      </c>
    </row>
    <row r="32" spans="1:21" x14ac:dyDescent="0.35">
      <c r="M32" t="s">
        <v>42</v>
      </c>
      <c r="N32" t="s">
        <v>43</v>
      </c>
    </row>
    <row r="33" spans="13:28" x14ac:dyDescent="0.35">
      <c r="M33" t="s">
        <v>8</v>
      </c>
    </row>
    <row r="34" spans="13:28" x14ac:dyDescent="0.35">
      <c r="M34" t="s">
        <v>44</v>
      </c>
      <c r="N34">
        <v>22</v>
      </c>
      <c r="O34" t="s">
        <v>22</v>
      </c>
      <c r="P34" t="s">
        <v>45</v>
      </c>
      <c r="Q34">
        <v>1</v>
      </c>
      <c r="R34" t="s">
        <v>22</v>
      </c>
      <c r="S34" t="s">
        <v>46</v>
      </c>
      <c r="T34" t="s">
        <v>50</v>
      </c>
      <c r="U34" t="s">
        <v>22</v>
      </c>
      <c r="V34">
        <v>8</v>
      </c>
      <c r="W34" t="s">
        <v>48</v>
      </c>
      <c r="X34">
        <v>10</v>
      </c>
      <c r="Y34" t="s">
        <v>22</v>
      </c>
      <c r="Z34" t="s">
        <v>49</v>
      </c>
      <c r="AA34" t="s">
        <v>22</v>
      </c>
      <c r="AB34" t="s">
        <v>86</v>
      </c>
    </row>
    <row r="35" spans="13:28" x14ac:dyDescent="0.35">
      <c r="M35" t="s">
        <v>44</v>
      </c>
      <c r="N35">
        <v>3</v>
      </c>
      <c r="O35" t="s">
        <v>22</v>
      </c>
      <c r="P35" t="s">
        <v>45</v>
      </c>
      <c r="Q35">
        <v>1</v>
      </c>
      <c r="R35" t="s">
        <v>22</v>
      </c>
      <c r="S35" t="s">
        <v>46</v>
      </c>
      <c r="T35" t="s">
        <v>47</v>
      </c>
      <c r="U35" t="s">
        <v>22</v>
      </c>
      <c r="V35">
        <v>1</v>
      </c>
      <c r="W35" t="s">
        <v>48</v>
      </c>
      <c r="X35">
        <v>8</v>
      </c>
      <c r="Y35" t="s">
        <v>22</v>
      </c>
      <c r="Z35" t="s">
        <v>49</v>
      </c>
      <c r="AA35" t="s">
        <v>22</v>
      </c>
      <c r="AB35" t="s">
        <v>87</v>
      </c>
    </row>
    <row r="36" spans="13:28" x14ac:dyDescent="0.35">
      <c r="M36" t="s">
        <v>44</v>
      </c>
      <c r="N36">
        <v>56</v>
      </c>
      <c r="O36" t="s">
        <v>22</v>
      </c>
      <c r="P36" t="s">
        <v>45</v>
      </c>
      <c r="Q36">
        <v>11</v>
      </c>
      <c r="R36" t="s">
        <v>22</v>
      </c>
      <c r="S36" t="s">
        <v>46</v>
      </c>
      <c r="T36" t="s">
        <v>47</v>
      </c>
      <c r="U36" t="s">
        <v>22</v>
      </c>
      <c r="V36">
        <v>6</v>
      </c>
      <c r="W36" t="s">
        <v>48</v>
      </c>
      <c r="X36">
        <v>3</v>
      </c>
      <c r="Y36" t="s">
        <v>22</v>
      </c>
      <c r="Z36" t="s">
        <v>49</v>
      </c>
      <c r="AA36" t="s">
        <v>22</v>
      </c>
      <c r="AB36" t="s">
        <v>88</v>
      </c>
    </row>
    <row r="37" spans="13:28" x14ac:dyDescent="0.35">
      <c r="M37" t="s">
        <v>44</v>
      </c>
      <c r="N37">
        <v>36</v>
      </c>
      <c r="O37" t="s">
        <v>22</v>
      </c>
      <c r="P37" t="s">
        <v>45</v>
      </c>
      <c r="Q37">
        <v>9</v>
      </c>
      <c r="R37" t="s">
        <v>22</v>
      </c>
      <c r="S37" t="s">
        <v>46</v>
      </c>
      <c r="T37" t="s">
        <v>47</v>
      </c>
      <c r="U37" t="s">
        <v>22</v>
      </c>
      <c r="V37">
        <v>5</v>
      </c>
      <c r="W37" t="s">
        <v>48</v>
      </c>
      <c r="X37">
        <v>6</v>
      </c>
      <c r="Y37" t="s">
        <v>22</v>
      </c>
      <c r="Z37" t="s">
        <v>49</v>
      </c>
      <c r="AA37" t="s">
        <v>22</v>
      </c>
      <c r="AB37" t="s">
        <v>89</v>
      </c>
    </row>
    <row r="38" spans="13:28" x14ac:dyDescent="0.35">
      <c r="M38" t="s">
        <v>44</v>
      </c>
      <c r="N38">
        <v>35</v>
      </c>
      <c r="O38" t="s">
        <v>22</v>
      </c>
      <c r="P38" t="s">
        <v>45</v>
      </c>
      <c r="Q38">
        <v>5</v>
      </c>
      <c r="R38" t="s">
        <v>22</v>
      </c>
      <c r="S38" t="s">
        <v>46</v>
      </c>
      <c r="T38" t="s">
        <v>47</v>
      </c>
      <c r="U38" t="s">
        <v>22</v>
      </c>
      <c r="V38">
        <v>3</v>
      </c>
      <c r="W38" t="s">
        <v>48</v>
      </c>
      <c r="X38">
        <v>10</v>
      </c>
      <c r="Y38" t="s">
        <v>22</v>
      </c>
      <c r="Z38" t="s">
        <v>49</v>
      </c>
      <c r="AA38" t="s">
        <v>22</v>
      </c>
      <c r="AB38" t="s">
        <v>90</v>
      </c>
    </row>
    <row r="39" spans="13:28" x14ac:dyDescent="0.35">
      <c r="M39" t="s">
        <v>44</v>
      </c>
      <c r="N39">
        <v>55</v>
      </c>
      <c r="O39" t="s">
        <v>22</v>
      </c>
      <c r="P39" t="s">
        <v>45</v>
      </c>
      <c r="Q39">
        <v>20</v>
      </c>
      <c r="R39" t="s">
        <v>22</v>
      </c>
      <c r="S39" t="s">
        <v>46</v>
      </c>
      <c r="T39" t="s">
        <v>47</v>
      </c>
      <c r="U39" t="s">
        <v>22</v>
      </c>
      <c r="V39">
        <v>10</v>
      </c>
      <c r="W39" t="s">
        <v>48</v>
      </c>
      <c r="X39">
        <v>1</v>
      </c>
      <c r="Y39" t="s">
        <v>22</v>
      </c>
      <c r="Z39" t="s">
        <v>49</v>
      </c>
      <c r="AA39" t="s">
        <v>22</v>
      </c>
      <c r="AB39" t="s">
        <v>91</v>
      </c>
    </row>
    <row r="40" spans="13:28" x14ac:dyDescent="0.35">
      <c r="M40" t="s">
        <v>9</v>
      </c>
    </row>
    <row r="41" spans="13:28" x14ac:dyDescent="0.35">
      <c r="M41" t="s">
        <v>10</v>
      </c>
    </row>
    <row r="43" spans="13:28" x14ac:dyDescent="0.35">
      <c r="M43" t="s">
        <v>54</v>
      </c>
      <c r="N43">
        <v>1</v>
      </c>
    </row>
    <row r="44" spans="13:28" x14ac:dyDescent="0.35">
      <c r="M44" t="s">
        <v>11</v>
      </c>
    </row>
    <row r="45" spans="13:28" x14ac:dyDescent="0.35">
      <c r="M45" t="s">
        <v>55</v>
      </c>
      <c r="N45" t="s">
        <v>56</v>
      </c>
      <c r="O45" t="s">
        <v>57</v>
      </c>
      <c r="P45" t="s">
        <v>58</v>
      </c>
      <c r="Q45" t="s">
        <v>59</v>
      </c>
      <c r="R45" t="s">
        <v>60</v>
      </c>
      <c r="S45" t="s">
        <v>61</v>
      </c>
    </row>
    <row r="46" spans="13:28" x14ac:dyDescent="0.35">
      <c r="M46" t="s">
        <v>11</v>
      </c>
    </row>
    <row r="47" spans="13:28" x14ac:dyDescent="0.35">
      <c r="M47">
        <v>1</v>
      </c>
      <c r="N47">
        <v>1</v>
      </c>
      <c r="O47">
        <v>8</v>
      </c>
      <c r="P47">
        <v>30</v>
      </c>
      <c r="Q47">
        <v>59</v>
      </c>
      <c r="R47">
        <v>29</v>
      </c>
      <c r="S47">
        <v>0</v>
      </c>
    </row>
    <row r="48" spans="13:28" x14ac:dyDescent="0.35">
      <c r="M48">
        <v>2</v>
      </c>
      <c r="N48">
        <v>8</v>
      </c>
      <c r="O48">
        <v>10</v>
      </c>
      <c r="P48">
        <v>201</v>
      </c>
      <c r="Q48">
        <v>236</v>
      </c>
      <c r="R48">
        <v>35</v>
      </c>
      <c r="S48">
        <v>0</v>
      </c>
    </row>
    <row r="50" spans="13:19" x14ac:dyDescent="0.35">
      <c r="M50" t="s">
        <v>54</v>
      </c>
      <c r="N50">
        <v>3</v>
      </c>
    </row>
    <row r="51" spans="13:19" x14ac:dyDescent="0.35">
      <c r="M51" t="s">
        <v>11</v>
      </c>
    </row>
    <row r="52" spans="13:19" x14ac:dyDescent="0.35">
      <c r="M52" t="s">
        <v>55</v>
      </c>
      <c r="N52" t="s">
        <v>56</v>
      </c>
      <c r="O52" t="s">
        <v>57</v>
      </c>
      <c r="P52" t="s">
        <v>58</v>
      </c>
      <c r="Q52" t="s">
        <v>59</v>
      </c>
      <c r="R52" t="s">
        <v>60</v>
      </c>
      <c r="S52" t="s">
        <v>61</v>
      </c>
    </row>
    <row r="53" spans="13:19" x14ac:dyDescent="0.35">
      <c r="M53" t="s">
        <v>11</v>
      </c>
    </row>
    <row r="54" spans="13:19" x14ac:dyDescent="0.35">
      <c r="M54">
        <v>1</v>
      </c>
      <c r="N54">
        <v>2</v>
      </c>
      <c r="O54">
        <v>5</v>
      </c>
      <c r="P54">
        <v>30</v>
      </c>
      <c r="Q54">
        <v>46</v>
      </c>
      <c r="R54">
        <v>16</v>
      </c>
      <c r="S54">
        <v>4</v>
      </c>
    </row>
    <row r="56" spans="13:19" x14ac:dyDescent="0.35">
      <c r="M56" t="s">
        <v>54</v>
      </c>
      <c r="N56">
        <v>5</v>
      </c>
    </row>
    <row r="57" spans="13:19" x14ac:dyDescent="0.35">
      <c r="M57" t="s">
        <v>11</v>
      </c>
    </row>
    <row r="58" spans="13:19" x14ac:dyDescent="0.35">
      <c r="M58" t="s">
        <v>55</v>
      </c>
      <c r="N58" t="s">
        <v>56</v>
      </c>
      <c r="O58" t="s">
        <v>57</v>
      </c>
      <c r="P58" t="s">
        <v>58</v>
      </c>
      <c r="Q58" t="s">
        <v>59</v>
      </c>
      <c r="R58" t="s">
        <v>60</v>
      </c>
      <c r="S58" t="s">
        <v>61</v>
      </c>
    </row>
    <row r="59" spans="13:19" x14ac:dyDescent="0.35">
      <c r="M59" t="s">
        <v>11</v>
      </c>
    </row>
    <row r="60" spans="13:19" x14ac:dyDescent="0.35">
      <c r="M60">
        <v>1</v>
      </c>
      <c r="N60">
        <v>3</v>
      </c>
      <c r="O60">
        <v>10</v>
      </c>
      <c r="P60">
        <v>513</v>
      </c>
      <c r="Q60">
        <v>532</v>
      </c>
      <c r="R60">
        <v>19</v>
      </c>
      <c r="S60">
        <v>0</v>
      </c>
    </row>
    <row r="62" spans="13:19" x14ac:dyDescent="0.35">
      <c r="M62" t="s">
        <v>54</v>
      </c>
      <c r="N62">
        <v>9</v>
      </c>
    </row>
    <row r="63" spans="13:19" x14ac:dyDescent="0.35">
      <c r="M63" t="s">
        <v>11</v>
      </c>
    </row>
    <row r="64" spans="13:19" x14ac:dyDescent="0.35">
      <c r="M64" t="s">
        <v>55</v>
      </c>
      <c r="N64" t="s">
        <v>56</v>
      </c>
      <c r="O64" t="s">
        <v>57</v>
      </c>
      <c r="P64" t="s">
        <v>58</v>
      </c>
      <c r="Q64" t="s">
        <v>59</v>
      </c>
      <c r="R64" t="s">
        <v>60</v>
      </c>
      <c r="S64" t="s">
        <v>61</v>
      </c>
    </row>
    <row r="65" spans="13:19" x14ac:dyDescent="0.35">
      <c r="M65" t="s">
        <v>11</v>
      </c>
    </row>
    <row r="66" spans="13:19" x14ac:dyDescent="0.35">
      <c r="M66">
        <v>1</v>
      </c>
      <c r="N66">
        <v>5</v>
      </c>
      <c r="O66">
        <v>6</v>
      </c>
      <c r="P66">
        <v>520</v>
      </c>
      <c r="Q66">
        <v>534</v>
      </c>
      <c r="R66">
        <v>14</v>
      </c>
      <c r="S66">
        <v>0</v>
      </c>
    </row>
    <row r="68" spans="13:19" x14ac:dyDescent="0.35">
      <c r="M68" t="s">
        <v>54</v>
      </c>
      <c r="N68">
        <v>11</v>
      </c>
    </row>
    <row r="69" spans="13:19" x14ac:dyDescent="0.35">
      <c r="M69" t="s">
        <v>11</v>
      </c>
    </row>
    <row r="70" spans="13:19" x14ac:dyDescent="0.35">
      <c r="M70" t="s">
        <v>55</v>
      </c>
      <c r="N70" t="s">
        <v>56</v>
      </c>
      <c r="O70" t="s">
        <v>57</v>
      </c>
      <c r="P70" t="s">
        <v>58</v>
      </c>
      <c r="Q70" t="s">
        <v>59</v>
      </c>
      <c r="R70" t="s">
        <v>60</v>
      </c>
      <c r="S70" t="s">
        <v>61</v>
      </c>
    </row>
    <row r="71" spans="13:19" x14ac:dyDescent="0.35">
      <c r="M71" t="s">
        <v>11</v>
      </c>
    </row>
    <row r="72" spans="13:19" x14ac:dyDescent="0.35">
      <c r="M72">
        <v>1</v>
      </c>
      <c r="N72">
        <v>6</v>
      </c>
      <c r="O72">
        <v>3</v>
      </c>
      <c r="P72">
        <v>705</v>
      </c>
      <c r="Q72">
        <v>731</v>
      </c>
      <c r="R72">
        <v>26</v>
      </c>
      <c r="S72">
        <v>0</v>
      </c>
    </row>
    <row r="73" spans="13:19" x14ac:dyDescent="0.35">
      <c r="M73">
        <v>2</v>
      </c>
      <c r="N73">
        <v>3</v>
      </c>
      <c r="O73">
        <v>5</v>
      </c>
      <c r="P73">
        <v>761</v>
      </c>
      <c r="Q73">
        <v>774</v>
      </c>
      <c r="R73">
        <v>13</v>
      </c>
      <c r="S73">
        <v>4</v>
      </c>
    </row>
    <row r="75" spans="13:19" x14ac:dyDescent="0.35">
      <c r="M75" t="s">
        <v>54</v>
      </c>
      <c r="N75">
        <v>20</v>
      </c>
    </row>
    <row r="76" spans="13:19" x14ac:dyDescent="0.35">
      <c r="M76" t="s">
        <v>11</v>
      </c>
    </row>
    <row r="77" spans="13:19" x14ac:dyDescent="0.35">
      <c r="M77" t="s">
        <v>55</v>
      </c>
      <c r="N77" t="s">
        <v>56</v>
      </c>
      <c r="O77" t="s">
        <v>57</v>
      </c>
      <c r="P77" t="s">
        <v>58</v>
      </c>
      <c r="Q77" t="s">
        <v>59</v>
      </c>
      <c r="R77" t="s">
        <v>60</v>
      </c>
      <c r="S77" t="s">
        <v>61</v>
      </c>
    </row>
    <row r="78" spans="13:19" x14ac:dyDescent="0.35">
      <c r="M78" t="s">
        <v>11</v>
      </c>
    </row>
    <row r="79" spans="13:19" x14ac:dyDescent="0.35">
      <c r="M79">
        <v>1</v>
      </c>
      <c r="N79">
        <v>10</v>
      </c>
      <c r="O79">
        <v>1</v>
      </c>
      <c r="P79">
        <v>687</v>
      </c>
      <c r="Q79">
        <v>697</v>
      </c>
      <c r="R79">
        <v>10</v>
      </c>
      <c r="S79">
        <v>0</v>
      </c>
    </row>
    <row r="81" spans="13:15" x14ac:dyDescent="0.35">
      <c r="M81" t="s">
        <v>62</v>
      </c>
      <c r="N81" t="s">
        <v>63</v>
      </c>
      <c r="O8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9302-61F5-4760-BD16-6C55989527D9}">
  <dimension ref="A1:AA56"/>
  <sheetViews>
    <sheetView topLeftCell="K22" workbookViewId="0">
      <selection activeCell="L8" sqref="L8:AA56"/>
    </sheetView>
  </sheetViews>
  <sheetFormatPr defaultRowHeight="14.5" x14ac:dyDescent="0.35"/>
  <cols>
    <col min="6" max="6" width="23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6" x14ac:dyDescent="0.35">
      <c r="A2">
        <v>1</v>
      </c>
      <c r="B2">
        <v>-11664.210144609</v>
      </c>
      <c r="C2">
        <v>5035.7898553909399</v>
      </c>
      <c r="D2">
        <v>0.122435897435897</v>
      </c>
      <c r="E2">
        <v>26</v>
      </c>
      <c r="F2">
        <v>3</v>
      </c>
      <c r="G2">
        <v>3</v>
      </c>
    </row>
    <row r="3" spans="1:16" x14ac:dyDescent="0.35">
      <c r="A3">
        <v>2</v>
      </c>
      <c r="B3">
        <v>1739.7297625414501</v>
      </c>
      <c r="C3">
        <v>17999.729762541399</v>
      </c>
      <c r="D3">
        <v>0.13529647435897399</v>
      </c>
      <c r="E3">
        <v>140</v>
      </c>
      <c r="F3">
        <v>13</v>
      </c>
      <c r="G3">
        <v>4.4615384615384599</v>
      </c>
    </row>
    <row r="4" spans="1:16" x14ac:dyDescent="0.35">
      <c r="A4">
        <v>3</v>
      </c>
      <c r="B4">
        <v>1092.17422925912</v>
      </c>
      <c r="C4">
        <v>16692.174229259101</v>
      </c>
      <c r="D4">
        <v>0.121794871794871</v>
      </c>
      <c r="E4">
        <v>70</v>
      </c>
      <c r="F4">
        <v>7</v>
      </c>
      <c r="G4">
        <v>6.5714285714285703</v>
      </c>
    </row>
    <row r="5" spans="1:16" x14ac:dyDescent="0.35">
      <c r="A5">
        <v>4</v>
      </c>
      <c r="B5">
        <v>-5346.6230901090203</v>
      </c>
      <c r="C5">
        <v>10453.3769098909</v>
      </c>
      <c r="D5">
        <v>0.15384615384615299</v>
      </c>
      <c r="E5">
        <v>0</v>
      </c>
      <c r="F5">
        <v>2</v>
      </c>
      <c r="G5">
        <v>4.5</v>
      </c>
    </row>
    <row r="6" spans="1:16" x14ac:dyDescent="0.35">
      <c r="A6">
        <v>5</v>
      </c>
      <c r="B6">
        <v>-6335.8416570298796</v>
      </c>
      <c r="C6">
        <v>9464.1583429701204</v>
      </c>
      <c r="D6">
        <v>0.20512820512820501</v>
      </c>
      <c r="E6">
        <v>0</v>
      </c>
      <c r="F6">
        <v>3</v>
      </c>
      <c r="G6">
        <v>0</v>
      </c>
    </row>
    <row r="7" spans="1:16" x14ac:dyDescent="0.35">
      <c r="A7">
        <v>6</v>
      </c>
      <c r="B7">
        <v>-9662.9451012596401</v>
      </c>
      <c r="C7">
        <v>6937.0548987403499</v>
      </c>
      <c r="D7">
        <v>0.148717948717948</v>
      </c>
      <c r="E7">
        <v>34</v>
      </c>
      <c r="F7">
        <v>5</v>
      </c>
      <c r="G7">
        <v>2.2000000000000002</v>
      </c>
    </row>
    <row r="8" spans="1:16" x14ac:dyDescent="0.35">
      <c r="A8">
        <v>7</v>
      </c>
      <c r="B8">
        <v>-11865.678800213</v>
      </c>
      <c r="C8">
        <v>5734.3211997869603</v>
      </c>
      <c r="D8">
        <v>0.116987179487179</v>
      </c>
      <c r="E8">
        <v>25</v>
      </c>
      <c r="F8">
        <v>3</v>
      </c>
      <c r="G8">
        <v>5</v>
      </c>
      <c r="L8" t="s">
        <v>12</v>
      </c>
      <c r="M8" t="s">
        <v>13</v>
      </c>
      <c r="N8" t="s">
        <v>14</v>
      </c>
      <c r="O8" t="s">
        <v>15</v>
      </c>
    </row>
    <row r="9" spans="1:16" x14ac:dyDescent="0.35">
      <c r="A9">
        <v>8</v>
      </c>
      <c r="B9">
        <v>-2115.7657798966402</v>
      </c>
      <c r="C9">
        <v>14184.234220103301</v>
      </c>
      <c r="D9">
        <v>0.14391025641025601</v>
      </c>
      <c r="E9">
        <v>42</v>
      </c>
      <c r="F9">
        <v>7</v>
      </c>
      <c r="G9">
        <v>1.5714285714285701</v>
      </c>
      <c r="L9" t="s">
        <v>16</v>
      </c>
      <c r="M9" t="s">
        <v>17</v>
      </c>
      <c r="N9">
        <v>2341.7538197819399</v>
      </c>
    </row>
    <row r="10" spans="1:16" x14ac:dyDescent="0.35">
      <c r="A10">
        <v>9</v>
      </c>
      <c r="B10">
        <v>-8046.6230901090203</v>
      </c>
      <c r="C10">
        <v>10453.3769098909</v>
      </c>
      <c r="D10">
        <v>0.15384615384615299</v>
      </c>
      <c r="E10">
        <v>0</v>
      </c>
      <c r="F10">
        <v>2</v>
      </c>
      <c r="G10">
        <v>0</v>
      </c>
      <c r="L10" t="s">
        <v>18</v>
      </c>
      <c r="M10" t="s">
        <v>17</v>
      </c>
      <c r="N10">
        <v>18041.753819781901</v>
      </c>
    </row>
    <row r="11" spans="1:16" x14ac:dyDescent="0.35">
      <c r="A11">
        <v>10</v>
      </c>
      <c r="B11">
        <v>2341.7538197819399</v>
      </c>
      <c r="C11">
        <v>18041.753819781901</v>
      </c>
      <c r="D11">
        <v>0.15384615384615299</v>
      </c>
      <c r="E11">
        <v>0</v>
      </c>
      <c r="F11">
        <v>4</v>
      </c>
      <c r="G11">
        <v>1.25</v>
      </c>
      <c r="L11" t="s">
        <v>19</v>
      </c>
      <c r="M11" t="s">
        <v>20</v>
      </c>
    </row>
    <row r="12" spans="1:16" x14ac:dyDescent="0.35">
      <c r="A12">
        <v>11</v>
      </c>
      <c r="B12">
        <v>-6837.8005677495403</v>
      </c>
      <c r="C12">
        <v>10422.1994322504</v>
      </c>
      <c r="D12">
        <v>0.113003663003663</v>
      </c>
      <c r="E12">
        <v>119</v>
      </c>
      <c r="F12">
        <v>8</v>
      </c>
      <c r="G12">
        <v>8.25</v>
      </c>
      <c r="L12" t="s">
        <v>7</v>
      </c>
    </row>
    <row r="13" spans="1:16" x14ac:dyDescent="0.35">
      <c r="A13">
        <v>12</v>
      </c>
      <c r="B13">
        <v>-14009.123090109</v>
      </c>
      <c r="C13">
        <v>3290.8769098909702</v>
      </c>
      <c r="D13">
        <v>0.134615384615384</v>
      </c>
      <c r="E13">
        <v>0</v>
      </c>
      <c r="F13">
        <v>2</v>
      </c>
      <c r="G13">
        <v>0</v>
      </c>
      <c r="L13" t="s">
        <v>21</v>
      </c>
      <c r="M13">
        <v>0</v>
      </c>
      <c r="N13" t="s">
        <v>22</v>
      </c>
      <c r="O13">
        <v>1</v>
      </c>
      <c r="P13" t="s">
        <v>22</v>
      </c>
    </row>
    <row r="14" spans="1:16" x14ac:dyDescent="0.35">
      <c r="A14">
        <v>13</v>
      </c>
      <c r="B14">
        <v>-11973.023105836101</v>
      </c>
      <c r="C14">
        <v>6826.9768941638104</v>
      </c>
      <c r="D14">
        <v>0.12676282051282001</v>
      </c>
      <c r="E14">
        <v>33</v>
      </c>
      <c r="F14">
        <v>7</v>
      </c>
      <c r="G14">
        <v>7.8571428571428497</v>
      </c>
      <c r="L14" t="s">
        <v>23</v>
      </c>
      <c r="M14">
        <v>0</v>
      </c>
      <c r="N14" t="s">
        <v>22</v>
      </c>
      <c r="O14">
        <v>1</v>
      </c>
      <c r="P14" t="s">
        <v>22</v>
      </c>
    </row>
    <row r="15" spans="1:16" x14ac:dyDescent="0.35">
      <c r="A15">
        <v>14</v>
      </c>
      <c r="B15">
        <v>-6846.6230901090203</v>
      </c>
      <c r="C15">
        <v>10453.3769098909</v>
      </c>
      <c r="D15">
        <v>0.15384615384615299</v>
      </c>
      <c r="E15">
        <v>0</v>
      </c>
      <c r="F15">
        <v>2</v>
      </c>
      <c r="G15">
        <v>0</v>
      </c>
      <c r="L15" t="s">
        <v>24</v>
      </c>
      <c r="M15">
        <v>0</v>
      </c>
      <c r="N15" t="s">
        <v>22</v>
      </c>
      <c r="O15">
        <v>2</v>
      </c>
      <c r="P15" t="s">
        <v>22</v>
      </c>
    </row>
    <row r="16" spans="1:16" x14ac:dyDescent="0.35">
      <c r="A16">
        <v>15</v>
      </c>
      <c r="B16">
        <v>-7232.8793279372303</v>
      </c>
      <c r="C16">
        <v>9767.1206720627597</v>
      </c>
      <c r="D16">
        <v>0.142307692307692</v>
      </c>
      <c r="E16">
        <v>30</v>
      </c>
      <c r="F16">
        <v>4</v>
      </c>
      <c r="G16">
        <v>1</v>
      </c>
      <c r="L16" t="s">
        <v>25</v>
      </c>
      <c r="M16">
        <v>0</v>
      </c>
      <c r="N16" t="s">
        <v>22</v>
      </c>
      <c r="O16">
        <v>2</v>
      </c>
      <c r="P16" t="s">
        <v>22</v>
      </c>
    </row>
    <row r="17" spans="1:20" x14ac:dyDescent="0.35">
      <c r="A17">
        <v>16</v>
      </c>
      <c r="B17">
        <v>-11482.1374302323</v>
      </c>
      <c r="C17">
        <v>5757.8625697676498</v>
      </c>
      <c r="D17">
        <v>0.12275641025641</v>
      </c>
      <c r="E17">
        <v>77</v>
      </c>
      <c r="F17">
        <v>7</v>
      </c>
      <c r="G17">
        <v>6.5714285714285703</v>
      </c>
      <c r="L17" t="s">
        <v>26</v>
      </c>
      <c r="M17">
        <v>0</v>
      </c>
      <c r="N17" t="s">
        <v>22</v>
      </c>
      <c r="O17">
        <v>3</v>
      </c>
      <c r="P17" t="s">
        <v>22</v>
      </c>
    </row>
    <row r="18" spans="1:20" x14ac:dyDescent="0.35">
      <c r="A18">
        <v>17</v>
      </c>
      <c r="B18">
        <v>182.23901782914601</v>
      </c>
      <c r="C18">
        <v>15582.239017829101</v>
      </c>
      <c r="D18">
        <v>0.122996794871794</v>
      </c>
      <c r="E18">
        <v>27</v>
      </c>
      <c r="F18">
        <v>6</v>
      </c>
      <c r="G18">
        <v>6</v>
      </c>
      <c r="L18" t="s">
        <v>27</v>
      </c>
      <c r="M18">
        <v>0</v>
      </c>
      <c r="N18" t="s">
        <v>22</v>
      </c>
      <c r="O18">
        <v>3</v>
      </c>
      <c r="P18" t="s">
        <v>22</v>
      </c>
    </row>
    <row r="19" spans="1:20" x14ac:dyDescent="0.35">
      <c r="A19">
        <v>18</v>
      </c>
      <c r="B19">
        <v>-12611.656938463901</v>
      </c>
      <c r="C19">
        <v>2488.3430615360699</v>
      </c>
      <c r="D19">
        <v>0.110897435897435</v>
      </c>
      <c r="E19">
        <v>106</v>
      </c>
      <c r="F19">
        <v>4</v>
      </c>
      <c r="G19">
        <v>0</v>
      </c>
      <c r="L19" t="s">
        <v>28</v>
      </c>
      <c r="M19">
        <v>2</v>
      </c>
      <c r="N19" t="s">
        <v>22</v>
      </c>
      <c r="O19">
        <v>4</v>
      </c>
      <c r="P19">
        <v>1</v>
      </c>
      <c r="Q19">
        <v>4</v>
      </c>
      <c r="R19" t="s">
        <v>22</v>
      </c>
      <c r="S19">
        <v>42</v>
      </c>
      <c r="T19">
        <v>30</v>
      </c>
    </row>
    <row r="20" spans="1:20" x14ac:dyDescent="0.35">
      <c r="A20">
        <v>19</v>
      </c>
      <c r="B20">
        <v>-10447.088171085599</v>
      </c>
      <c r="C20">
        <v>5612.9118289143798</v>
      </c>
      <c r="D20">
        <v>0.12596153846153799</v>
      </c>
      <c r="E20">
        <v>81</v>
      </c>
      <c r="F20">
        <v>5</v>
      </c>
      <c r="G20">
        <v>3.4</v>
      </c>
      <c r="L20" t="s">
        <v>29</v>
      </c>
      <c r="M20">
        <v>2</v>
      </c>
      <c r="N20" t="s">
        <v>22</v>
      </c>
      <c r="O20">
        <v>4</v>
      </c>
      <c r="P20">
        <v>1</v>
      </c>
      <c r="Q20">
        <v>4</v>
      </c>
      <c r="R20" t="s">
        <v>22</v>
      </c>
      <c r="S20">
        <v>127</v>
      </c>
      <c r="T20">
        <v>201</v>
      </c>
    </row>
    <row r="21" spans="1:20" x14ac:dyDescent="0.35">
      <c r="A21">
        <v>20</v>
      </c>
      <c r="B21">
        <v>-4266.74155350009</v>
      </c>
      <c r="C21">
        <v>12433.2584464999</v>
      </c>
      <c r="D21">
        <v>0.111538461538461</v>
      </c>
      <c r="E21">
        <v>75</v>
      </c>
      <c r="F21">
        <v>6</v>
      </c>
      <c r="G21">
        <v>9.5</v>
      </c>
      <c r="L21" t="s">
        <v>30</v>
      </c>
      <c r="M21">
        <v>0</v>
      </c>
      <c r="N21" t="s">
        <v>22</v>
      </c>
      <c r="O21">
        <v>5</v>
      </c>
      <c r="P21" t="s">
        <v>22</v>
      </c>
    </row>
    <row r="22" spans="1:20" x14ac:dyDescent="0.35">
      <c r="L22" t="s">
        <v>31</v>
      </c>
      <c r="M22">
        <v>0</v>
      </c>
      <c r="N22" t="s">
        <v>22</v>
      </c>
      <c r="O22">
        <v>5</v>
      </c>
      <c r="P22" t="s">
        <v>22</v>
      </c>
    </row>
    <row r="23" spans="1:20" x14ac:dyDescent="0.35">
      <c r="A23" t="s">
        <v>92</v>
      </c>
      <c r="B23">
        <f>AVERAGE(B2:B21)</f>
        <v>-6769.4432054418667</v>
      </c>
      <c r="C23">
        <f t="shared" ref="C23:G23" si="0">AVERAGE(C2:C21)</f>
        <v>9881.5567945580915</v>
      </c>
      <c r="D23">
        <f t="shared" si="0"/>
        <v>0.13602478250915695</v>
      </c>
      <c r="E23">
        <f t="shared" si="0"/>
        <v>44.25</v>
      </c>
      <c r="F23">
        <f t="shared" si="0"/>
        <v>5</v>
      </c>
      <c r="G23">
        <f t="shared" si="0"/>
        <v>3.55664835164835</v>
      </c>
      <c r="L23" t="s">
        <v>32</v>
      </c>
      <c r="M23">
        <v>0</v>
      </c>
      <c r="N23" t="s">
        <v>22</v>
      </c>
      <c r="O23">
        <v>6</v>
      </c>
      <c r="P23" t="s">
        <v>22</v>
      </c>
    </row>
    <row r="24" spans="1:20" x14ac:dyDescent="0.35">
      <c r="A24" t="s">
        <v>93</v>
      </c>
      <c r="B24">
        <f>_xlfn.STDEV.S(B2:B21)</f>
        <v>5156.4933048179882</v>
      </c>
      <c r="C24">
        <f t="shared" ref="C24:G24" si="1">_xlfn.STDEV.S(C2:C21)</f>
        <v>4756.5191870254303</v>
      </c>
      <c r="D24">
        <f t="shared" si="1"/>
        <v>2.2188572161394228E-2</v>
      </c>
      <c r="E24">
        <f t="shared" si="1"/>
        <v>43.401279389340345</v>
      </c>
      <c r="F24">
        <f t="shared" si="1"/>
        <v>2.7338039817306425</v>
      </c>
      <c r="G24">
        <f t="shared" si="1"/>
        <v>3.1204487200060189</v>
      </c>
      <c r="L24" t="s">
        <v>33</v>
      </c>
      <c r="M24">
        <v>0</v>
      </c>
      <c r="N24" t="s">
        <v>22</v>
      </c>
      <c r="O24">
        <v>6</v>
      </c>
      <c r="P24" t="s">
        <v>22</v>
      </c>
    </row>
    <row r="25" spans="1:20" x14ac:dyDescent="0.35">
      <c r="L25" t="s">
        <v>34</v>
      </c>
      <c r="M25">
        <v>0</v>
      </c>
      <c r="N25" t="s">
        <v>22</v>
      </c>
      <c r="O25">
        <v>7</v>
      </c>
      <c r="P25" t="s">
        <v>22</v>
      </c>
    </row>
    <row r="26" spans="1:20" x14ac:dyDescent="0.35">
      <c r="L26" t="s">
        <v>35</v>
      </c>
      <c r="M26">
        <v>0</v>
      </c>
      <c r="N26" t="s">
        <v>22</v>
      </c>
      <c r="O26">
        <v>7</v>
      </c>
      <c r="P26" t="s">
        <v>22</v>
      </c>
    </row>
    <row r="27" spans="1:20" x14ac:dyDescent="0.35">
      <c r="L27" t="s">
        <v>36</v>
      </c>
      <c r="M27">
        <v>0</v>
      </c>
      <c r="N27" t="s">
        <v>22</v>
      </c>
      <c r="O27">
        <v>8</v>
      </c>
      <c r="P27" t="s">
        <v>22</v>
      </c>
    </row>
    <row r="28" spans="1:20" x14ac:dyDescent="0.35">
      <c r="L28" t="s">
        <v>37</v>
      </c>
      <c r="M28">
        <v>0</v>
      </c>
      <c r="N28" t="s">
        <v>22</v>
      </c>
      <c r="O28">
        <v>8</v>
      </c>
      <c r="P28" t="s">
        <v>22</v>
      </c>
    </row>
    <row r="29" spans="1:20" x14ac:dyDescent="0.35">
      <c r="L29" t="s">
        <v>38</v>
      </c>
      <c r="M29">
        <v>0</v>
      </c>
      <c r="N29" t="s">
        <v>22</v>
      </c>
      <c r="O29">
        <v>9</v>
      </c>
      <c r="P29" t="s">
        <v>22</v>
      </c>
    </row>
    <row r="30" spans="1:20" x14ac:dyDescent="0.35">
      <c r="L30" t="s">
        <v>39</v>
      </c>
      <c r="M30">
        <v>0</v>
      </c>
      <c r="N30" t="s">
        <v>22</v>
      </c>
      <c r="O30">
        <v>9</v>
      </c>
      <c r="P30" t="s">
        <v>22</v>
      </c>
    </row>
    <row r="31" spans="1:20" x14ac:dyDescent="0.35">
      <c r="L31" t="s">
        <v>40</v>
      </c>
      <c r="M31">
        <v>0</v>
      </c>
      <c r="N31" t="s">
        <v>22</v>
      </c>
      <c r="O31">
        <v>10</v>
      </c>
      <c r="P31" t="s">
        <v>22</v>
      </c>
    </row>
    <row r="32" spans="1:20" x14ac:dyDescent="0.35">
      <c r="L32" t="s">
        <v>41</v>
      </c>
      <c r="M32">
        <v>0</v>
      </c>
      <c r="N32" t="s">
        <v>22</v>
      </c>
      <c r="O32">
        <v>10</v>
      </c>
      <c r="P32" t="s">
        <v>22</v>
      </c>
    </row>
    <row r="33" spans="12:27" x14ac:dyDescent="0.35">
      <c r="L33" t="s">
        <v>42</v>
      </c>
      <c r="M33" t="s">
        <v>43</v>
      </c>
    </row>
    <row r="34" spans="12:27" x14ac:dyDescent="0.35">
      <c r="L34" t="s">
        <v>8</v>
      </c>
    </row>
    <row r="35" spans="12:27" x14ac:dyDescent="0.35">
      <c r="L35" t="s">
        <v>44</v>
      </c>
      <c r="M35">
        <v>3</v>
      </c>
      <c r="N35" t="s">
        <v>22</v>
      </c>
      <c r="O35" t="s">
        <v>45</v>
      </c>
      <c r="P35">
        <v>7</v>
      </c>
      <c r="Q35" t="s">
        <v>22</v>
      </c>
      <c r="R35" t="s">
        <v>46</v>
      </c>
      <c r="S35" t="s">
        <v>47</v>
      </c>
      <c r="T35" t="s">
        <v>22</v>
      </c>
      <c r="U35">
        <v>4</v>
      </c>
      <c r="V35" t="s">
        <v>48</v>
      </c>
      <c r="W35">
        <v>1</v>
      </c>
      <c r="X35" t="s">
        <v>22</v>
      </c>
      <c r="Y35" t="s">
        <v>49</v>
      </c>
      <c r="Z35" t="s">
        <v>22</v>
      </c>
      <c r="AA35" t="s">
        <v>94</v>
      </c>
    </row>
    <row r="36" spans="12:27" x14ac:dyDescent="0.35">
      <c r="L36" t="s">
        <v>44</v>
      </c>
      <c r="M36">
        <v>14</v>
      </c>
      <c r="N36" t="s">
        <v>22</v>
      </c>
      <c r="O36" t="s">
        <v>45</v>
      </c>
      <c r="P36">
        <v>7</v>
      </c>
      <c r="Q36" t="s">
        <v>22</v>
      </c>
      <c r="R36" t="s">
        <v>46</v>
      </c>
      <c r="S36" t="s">
        <v>50</v>
      </c>
      <c r="T36" t="s">
        <v>22</v>
      </c>
      <c r="U36">
        <v>1</v>
      </c>
      <c r="V36" t="s">
        <v>48</v>
      </c>
      <c r="W36">
        <v>4</v>
      </c>
      <c r="X36" t="s">
        <v>22</v>
      </c>
      <c r="Y36" t="s">
        <v>49</v>
      </c>
      <c r="Z36" t="s">
        <v>22</v>
      </c>
      <c r="AA36" t="s">
        <v>142</v>
      </c>
    </row>
    <row r="37" spans="12:27" x14ac:dyDescent="0.35">
      <c r="L37" t="s">
        <v>44</v>
      </c>
      <c r="M37">
        <v>21</v>
      </c>
      <c r="N37" t="s">
        <v>22</v>
      </c>
      <c r="O37" t="s">
        <v>45</v>
      </c>
      <c r="P37">
        <v>8</v>
      </c>
      <c r="Q37" t="s">
        <v>22</v>
      </c>
      <c r="R37" t="s">
        <v>46</v>
      </c>
      <c r="S37" t="s">
        <v>47</v>
      </c>
      <c r="T37" t="s">
        <v>22</v>
      </c>
      <c r="U37">
        <v>4</v>
      </c>
      <c r="V37" t="s">
        <v>48</v>
      </c>
      <c r="W37">
        <v>1</v>
      </c>
      <c r="X37" t="s">
        <v>22</v>
      </c>
      <c r="Y37" t="s">
        <v>51</v>
      </c>
      <c r="Z37" t="s">
        <v>22</v>
      </c>
      <c r="AA37" t="s">
        <v>143</v>
      </c>
    </row>
    <row r="38" spans="12:27" x14ac:dyDescent="0.35">
      <c r="L38" t="s">
        <v>44</v>
      </c>
      <c r="M38">
        <v>30</v>
      </c>
      <c r="N38" t="s">
        <v>22</v>
      </c>
      <c r="O38" t="s">
        <v>45</v>
      </c>
      <c r="P38">
        <v>8</v>
      </c>
      <c r="Q38" t="s">
        <v>22</v>
      </c>
      <c r="R38" t="s">
        <v>46</v>
      </c>
      <c r="S38" t="s">
        <v>50</v>
      </c>
      <c r="T38" t="s">
        <v>22</v>
      </c>
      <c r="U38">
        <v>1</v>
      </c>
      <c r="V38" t="s">
        <v>48</v>
      </c>
      <c r="W38">
        <v>4</v>
      </c>
      <c r="X38" t="s">
        <v>22</v>
      </c>
      <c r="Y38" t="s">
        <v>53</v>
      </c>
      <c r="Z38" t="s">
        <v>22</v>
      </c>
      <c r="AA38" t="s">
        <v>144</v>
      </c>
    </row>
    <row r="39" spans="12:27" x14ac:dyDescent="0.35">
      <c r="L39" t="s">
        <v>9</v>
      </c>
    </row>
    <row r="40" spans="12:27" x14ac:dyDescent="0.35">
      <c r="L40" t="s">
        <v>10</v>
      </c>
    </row>
    <row r="42" spans="12:27" x14ac:dyDescent="0.35">
      <c r="L42" t="s">
        <v>54</v>
      </c>
      <c r="M42">
        <v>7</v>
      </c>
    </row>
    <row r="43" spans="12:27" x14ac:dyDescent="0.35">
      <c r="L43" t="s">
        <v>11</v>
      </c>
    </row>
    <row r="44" spans="12:27" x14ac:dyDescent="0.35">
      <c r="L44" t="s">
        <v>55</v>
      </c>
      <c r="M44" t="s">
        <v>56</v>
      </c>
      <c r="N44" t="s">
        <v>57</v>
      </c>
      <c r="O44" t="s">
        <v>58</v>
      </c>
      <c r="P44" t="s">
        <v>59</v>
      </c>
      <c r="Q44" t="s">
        <v>60</v>
      </c>
      <c r="R44" t="s">
        <v>61</v>
      </c>
    </row>
    <row r="45" spans="12:27" x14ac:dyDescent="0.35">
      <c r="L45" t="s">
        <v>11</v>
      </c>
    </row>
    <row r="46" spans="12:27" x14ac:dyDescent="0.35">
      <c r="L46">
        <v>1</v>
      </c>
      <c r="M46">
        <v>4</v>
      </c>
      <c r="N46">
        <v>1</v>
      </c>
      <c r="O46">
        <v>42</v>
      </c>
      <c r="P46">
        <v>72</v>
      </c>
      <c r="Q46">
        <v>30</v>
      </c>
      <c r="R46">
        <v>0</v>
      </c>
    </row>
    <row r="47" spans="12:27" x14ac:dyDescent="0.35">
      <c r="L47">
        <v>2</v>
      </c>
      <c r="M47">
        <v>1</v>
      </c>
      <c r="N47">
        <v>4</v>
      </c>
      <c r="O47">
        <v>102</v>
      </c>
      <c r="P47">
        <v>132</v>
      </c>
      <c r="Q47">
        <v>30</v>
      </c>
      <c r="R47">
        <v>0</v>
      </c>
    </row>
    <row r="49" spans="12:18" x14ac:dyDescent="0.35">
      <c r="L49" t="s">
        <v>54</v>
      </c>
      <c r="M49">
        <v>8</v>
      </c>
    </row>
    <row r="50" spans="12:18" x14ac:dyDescent="0.35">
      <c r="L50" t="s">
        <v>11</v>
      </c>
    </row>
    <row r="51" spans="12:18" x14ac:dyDescent="0.35">
      <c r="L51" t="s">
        <v>55</v>
      </c>
      <c r="M51" t="s">
        <v>56</v>
      </c>
      <c r="N51" t="s">
        <v>57</v>
      </c>
      <c r="O51" t="s">
        <v>58</v>
      </c>
      <c r="P51" t="s">
        <v>59</v>
      </c>
      <c r="Q51" t="s">
        <v>60</v>
      </c>
      <c r="R51" t="s">
        <v>61</v>
      </c>
    </row>
    <row r="52" spans="12:18" x14ac:dyDescent="0.35">
      <c r="L52" t="s">
        <v>11</v>
      </c>
    </row>
    <row r="53" spans="12:18" x14ac:dyDescent="0.35">
      <c r="L53">
        <v>1</v>
      </c>
      <c r="M53">
        <v>4</v>
      </c>
      <c r="N53">
        <v>1</v>
      </c>
      <c r="O53">
        <v>127</v>
      </c>
      <c r="P53">
        <v>157</v>
      </c>
      <c r="Q53">
        <v>30</v>
      </c>
      <c r="R53">
        <v>0</v>
      </c>
    </row>
    <row r="54" spans="12:18" x14ac:dyDescent="0.35">
      <c r="L54">
        <v>2</v>
      </c>
      <c r="M54">
        <v>1</v>
      </c>
      <c r="N54">
        <v>4</v>
      </c>
      <c r="O54">
        <v>358</v>
      </c>
      <c r="P54">
        <v>388</v>
      </c>
      <c r="Q54">
        <v>30</v>
      </c>
      <c r="R54">
        <v>0</v>
      </c>
    </row>
    <row r="56" spans="12:18" x14ac:dyDescent="0.35">
      <c r="L56" t="s">
        <v>62</v>
      </c>
      <c r="M56" t="s">
        <v>63</v>
      </c>
      <c r="N5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8812-0E27-41F6-A881-9DD66FC869EB}">
  <dimension ref="A1:AA92"/>
  <sheetViews>
    <sheetView topLeftCell="G1" workbookViewId="0">
      <selection activeCell="L10" sqref="L10:AA92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8" x14ac:dyDescent="0.35">
      <c r="A2">
        <v>1</v>
      </c>
      <c r="B2">
        <v>-7634.0315818436002</v>
      </c>
      <c r="C2">
        <v>8605.9684181563898</v>
      </c>
      <c r="D2">
        <v>7.5881410256410195E-2</v>
      </c>
      <c r="E2">
        <v>94</v>
      </c>
      <c r="F2">
        <v>5</v>
      </c>
      <c r="G2">
        <v>2.8</v>
      </c>
    </row>
    <row r="3" spans="1:18" x14ac:dyDescent="0.35">
      <c r="A3">
        <v>2</v>
      </c>
      <c r="B3">
        <v>7907.7839990438797</v>
      </c>
      <c r="C3">
        <v>25287.783999043801</v>
      </c>
      <c r="D3">
        <v>7.8021978021977995E-2</v>
      </c>
      <c r="E3">
        <v>181</v>
      </c>
      <c r="F3">
        <v>7</v>
      </c>
      <c r="G3">
        <v>0.14285714285714199</v>
      </c>
    </row>
    <row r="4" spans="1:18" x14ac:dyDescent="0.35">
      <c r="A4">
        <v>3</v>
      </c>
      <c r="B4">
        <v>-7031.1072000532504</v>
      </c>
      <c r="C4">
        <v>11368.8927999467</v>
      </c>
      <c r="D4">
        <v>0.10096153846153801</v>
      </c>
      <c r="E4">
        <v>0</v>
      </c>
      <c r="F4">
        <v>2</v>
      </c>
      <c r="G4">
        <v>2.5</v>
      </c>
    </row>
    <row r="5" spans="1:18" x14ac:dyDescent="0.35">
      <c r="A5">
        <v>4</v>
      </c>
      <c r="B5">
        <v>16138.397902237301</v>
      </c>
      <c r="C5">
        <v>31718.397902237299</v>
      </c>
      <c r="D5">
        <v>8.4668803418803396E-2</v>
      </c>
      <c r="E5">
        <v>123</v>
      </c>
      <c r="F5">
        <v>8</v>
      </c>
      <c r="G5">
        <v>1.5</v>
      </c>
    </row>
    <row r="6" spans="1:18" x14ac:dyDescent="0.35">
      <c r="A6">
        <v>5</v>
      </c>
      <c r="B6">
        <v>17632.179066806599</v>
      </c>
      <c r="C6">
        <v>34092.179066806602</v>
      </c>
      <c r="D6">
        <v>9.8626373626373595E-2</v>
      </c>
      <c r="E6">
        <v>169</v>
      </c>
      <c r="F6">
        <v>11</v>
      </c>
      <c r="G6">
        <v>2.63636363636363</v>
      </c>
    </row>
    <row r="7" spans="1:18" x14ac:dyDescent="0.35">
      <c r="A7">
        <v>6</v>
      </c>
      <c r="B7">
        <v>-3591.7517002908498</v>
      </c>
      <c r="C7">
        <v>13808.248299709099</v>
      </c>
      <c r="D7">
        <v>7.3333333333333306E-2</v>
      </c>
      <c r="E7">
        <v>92</v>
      </c>
      <c r="F7">
        <v>6</v>
      </c>
      <c r="G7">
        <v>1.1666666666666601</v>
      </c>
    </row>
    <row r="8" spans="1:18" x14ac:dyDescent="0.35">
      <c r="A8">
        <v>7</v>
      </c>
      <c r="B8">
        <v>22637.113113251999</v>
      </c>
      <c r="C8">
        <v>38737.113113252002</v>
      </c>
      <c r="D8">
        <v>9.0064102564102494E-2</v>
      </c>
      <c r="E8">
        <v>53</v>
      </c>
      <c r="F8">
        <v>9</v>
      </c>
      <c r="G8">
        <v>7.3333333333333304</v>
      </c>
    </row>
    <row r="9" spans="1:18" x14ac:dyDescent="0.35">
      <c r="A9">
        <v>8</v>
      </c>
      <c r="B9">
        <v>4970.8566786862202</v>
      </c>
      <c r="C9">
        <v>22070.856678686199</v>
      </c>
      <c r="D9">
        <v>9.4551282051282007E-2</v>
      </c>
      <c r="E9">
        <v>65</v>
      </c>
      <c r="F9">
        <v>6</v>
      </c>
      <c r="G9">
        <v>9.3333333333333304</v>
      </c>
    </row>
    <row r="10" spans="1:18" x14ac:dyDescent="0.35">
      <c r="A10">
        <v>9</v>
      </c>
      <c r="B10">
        <v>14962.843548852799</v>
      </c>
      <c r="C10">
        <v>30262.843548852801</v>
      </c>
      <c r="D10">
        <v>0.12</v>
      </c>
      <c r="E10">
        <v>99</v>
      </c>
      <c r="F10">
        <v>10</v>
      </c>
      <c r="G10">
        <v>11.3</v>
      </c>
      <c r="L10" t="s">
        <v>12</v>
      </c>
      <c r="M10" t="s">
        <v>13</v>
      </c>
      <c r="N10" t="s">
        <v>14</v>
      </c>
      <c r="O10" t="s">
        <v>15</v>
      </c>
    </row>
    <row r="11" spans="1:18" x14ac:dyDescent="0.35">
      <c r="A11">
        <v>10</v>
      </c>
      <c r="B11">
        <v>204.92615869880601</v>
      </c>
      <c r="C11">
        <v>15904.9261586988</v>
      </c>
      <c r="D11">
        <v>7.8605769230769201E-2</v>
      </c>
      <c r="E11">
        <v>53</v>
      </c>
      <c r="F11">
        <v>6</v>
      </c>
      <c r="G11">
        <v>6</v>
      </c>
      <c r="L11" t="s">
        <v>16</v>
      </c>
      <c r="M11" t="s">
        <v>17</v>
      </c>
      <c r="N11">
        <v>22637.113113251999</v>
      </c>
    </row>
    <row r="12" spans="1:18" x14ac:dyDescent="0.35">
      <c r="A12">
        <v>11</v>
      </c>
      <c r="B12">
        <v>16993.9155986023</v>
      </c>
      <c r="C12">
        <v>32173.9155986023</v>
      </c>
      <c r="D12">
        <v>9.3589743589743493E-2</v>
      </c>
      <c r="E12">
        <v>45</v>
      </c>
      <c r="F12">
        <v>6</v>
      </c>
      <c r="G12">
        <v>7.1666666666666599</v>
      </c>
      <c r="L12" t="s">
        <v>18</v>
      </c>
      <c r="M12" t="s">
        <v>17</v>
      </c>
      <c r="N12">
        <v>38737.113113252002</v>
      </c>
    </row>
    <row r="13" spans="1:18" x14ac:dyDescent="0.35">
      <c r="A13">
        <v>12</v>
      </c>
      <c r="B13">
        <v>6222.3731472644304</v>
      </c>
      <c r="C13">
        <v>22842.373147264399</v>
      </c>
      <c r="D13">
        <v>8.3379120879120805E-2</v>
      </c>
      <c r="E13">
        <v>219</v>
      </c>
      <c r="F13">
        <v>8</v>
      </c>
      <c r="G13">
        <v>1.875</v>
      </c>
      <c r="L13" t="s">
        <v>19</v>
      </c>
      <c r="M13" t="s">
        <v>20</v>
      </c>
    </row>
    <row r="14" spans="1:18" x14ac:dyDescent="0.35">
      <c r="A14">
        <v>13</v>
      </c>
      <c r="B14">
        <v>11351.920517423399</v>
      </c>
      <c r="C14">
        <v>28411.920517423401</v>
      </c>
      <c r="D14">
        <v>8.3733974358974297E-2</v>
      </c>
      <c r="E14">
        <v>218</v>
      </c>
      <c r="F14">
        <v>9</v>
      </c>
      <c r="G14">
        <v>0</v>
      </c>
      <c r="L14" t="s">
        <v>7</v>
      </c>
    </row>
    <row r="15" spans="1:18" x14ac:dyDescent="0.35">
      <c r="A15">
        <v>14</v>
      </c>
      <c r="B15">
        <v>12388.0947067335</v>
      </c>
      <c r="C15">
        <v>28788.0947067335</v>
      </c>
      <c r="D15">
        <v>9.7435897435897395E-2</v>
      </c>
      <c r="E15">
        <v>129</v>
      </c>
      <c r="F15">
        <v>7</v>
      </c>
      <c r="G15">
        <v>9.4285714285714199</v>
      </c>
      <c r="L15" t="s">
        <v>21</v>
      </c>
      <c r="M15">
        <v>1</v>
      </c>
      <c r="N15" t="s">
        <v>22</v>
      </c>
      <c r="O15">
        <v>1</v>
      </c>
      <c r="P15">
        <v>10</v>
      </c>
      <c r="Q15" t="s">
        <v>22</v>
      </c>
      <c r="R15">
        <v>752</v>
      </c>
    </row>
    <row r="16" spans="1:18" x14ac:dyDescent="0.35">
      <c r="A16">
        <v>15</v>
      </c>
      <c r="B16">
        <v>2953.26086649333</v>
      </c>
      <c r="C16">
        <v>19653.2608664933</v>
      </c>
      <c r="D16">
        <v>7.30128205128205E-2</v>
      </c>
      <c r="E16">
        <v>73</v>
      </c>
      <c r="F16">
        <v>6</v>
      </c>
      <c r="G16">
        <v>4.8333333333333304</v>
      </c>
      <c r="L16" t="s">
        <v>23</v>
      </c>
      <c r="M16">
        <v>0</v>
      </c>
      <c r="N16" t="s">
        <v>22</v>
      </c>
      <c r="O16">
        <v>1</v>
      </c>
      <c r="P16" t="s">
        <v>22</v>
      </c>
    </row>
    <row r="17" spans="1:22" x14ac:dyDescent="0.35">
      <c r="A17">
        <v>16</v>
      </c>
      <c r="B17">
        <v>17315.916629180701</v>
      </c>
      <c r="C17">
        <v>32195.916629180701</v>
      </c>
      <c r="D17">
        <v>9.7257834757834699E-2</v>
      </c>
      <c r="E17">
        <v>309</v>
      </c>
      <c r="F17">
        <v>11</v>
      </c>
      <c r="G17">
        <v>3.1818181818181799</v>
      </c>
      <c r="L17" t="s">
        <v>24</v>
      </c>
      <c r="M17">
        <v>0</v>
      </c>
      <c r="N17" t="s">
        <v>22</v>
      </c>
      <c r="O17">
        <v>2</v>
      </c>
      <c r="P17" t="s">
        <v>22</v>
      </c>
    </row>
    <row r="18" spans="1:22" x14ac:dyDescent="0.35">
      <c r="A18">
        <v>17</v>
      </c>
      <c r="B18">
        <v>21118.1808813188</v>
      </c>
      <c r="C18">
        <v>36598.180881318804</v>
      </c>
      <c r="D18">
        <v>0.101831501831501</v>
      </c>
      <c r="E18">
        <v>256</v>
      </c>
      <c r="F18">
        <v>8</v>
      </c>
      <c r="G18">
        <v>4.875</v>
      </c>
      <c r="L18" t="s">
        <v>25</v>
      </c>
      <c r="M18">
        <v>0</v>
      </c>
      <c r="N18" t="s">
        <v>22</v>
      </c>
      <c r="O18">
        <v>2</v>
      </c>
      <c r="P18" t="s">
        <v>22</v>
      </c>
    </row>
    <row r="19" spans="1:22" x14ac:dyDescent="0.35">
      <c r="A19">
        <v>18</v>
      </c>
      <c r="B19">
        <v>18057.48842885</v>
      </c>
      <c r="C19">
        <v>35457.488428850003</v>
      </c>
      <c r="D19">
        <v>0.126923076923076</v>
      </c>
      <c r="E19">
        <v>41</v>
      </c>
      <c r="F19">
        <v>7</v>
      </c>
      <c r="G19">
        <v>10.5714285714285</v>
      </c>
      <c r="L19" t="s">
        <v>26</v>
      </c>
      <c r="M19">
        <v>0</v>
      </c>
      <c r="N19" t="s">
        <v>22</v>
      </c>
      <c r="O19">
        <v>3</v>
      </c>
      <c r="P19" t="s">
        <v>22</v>
      </c>
    </row>
    <row r="20" spans="1:22" x14ac:dyDescent="0.35">
      <c r="A20">
        <v>19</v>
      </c>
      <c r="B20">
        <v>-3258.83313379122</v>
      </c>
      <c r="C20">
        <v>15501.1668662087</v>
      </c>
      <c r="D20">
        <v>7.9487179487179399E-2</v>
      </c>
      <c r="E20">
        <v>267</v>
      </c>
      <c r="F20">
        <v>8</v>
      </c>
      <c r="G20">
        <v>4.375</v>
      </c>
      <c r="L20" t="s">
        <v>27</v>
      </c>
      <c r="M20">
        <v>0</v>
      </c>
      <c r="N20" t="s">
        <v>22</v>
      </c>
      <c r="O20">
        <v>3</v>
      </c>
      <c r="P20" t="s">
        <v>22</v>
      </c>
    </row>
    <row r="21" spans="1:22" x14ac:dyDescent="0.35">
      <c r="A21">
        <v>20</v>
      </c>
      <c r="B21">
        <v>3611.3248066312699</v>
      </c>
      <c r="C21">
        <v>20611.324806631201</v>
      </c>
      <c r="D21">
        <v>9.3782051282051193E-2</v>
      </c>
      <c r="E21">
        <v>155</v>
      </c>
      <c r="F21">
        <v>6</v>
      </c>
      <c r="G21">
        <v>3.8333333333333299</v>
      </c>
      <c r="L21" t="s">
        <v>28</v>
      </c>
      <c r="M21">
        <v>3</v>
      </c>
      <c r="N21" t="s">
        <v>22</v>
      </c>
      <c r="O21">
        <v>4</v>
      </c>
      <c r="P21">
        <v>10</v>
      </c>
      <c r="Q21">
        <v>3</v>
      </c>
      <c r="R21">
        <v>4</v>
      </c>
      <c r="S21" t="s">
        <v>22</v>
      </c>
      <c r="T21">
        <v>71</v>
      </c>
      <c r="U21">
        <v>78</v>
      </c>
      <c r="V21">
        <v>15</v>
      </c>
    </row>
    <row r="22" spans="1:22" x14ac:dyDescent="0.35">
      <c r="L22" t="s">
        <v>29</v>
      </c>
      <c r="M22">
        <v>0</v>
      </c>
      <c r="N22" t="s">
        <v>22</v>
      </c>
      <c r="O22">
        <v>4</v>
      </c>
      <c r="P22" t="s">
        <v>22</v>
      </c>
    </row>
    <row r="23" spans="1:22" x14ac:dyDescent="0.35">
      <c r="A23" t="s">
        <v>92</v>
      </c>
      <c r="B23">
        <f>AVERAGE(B2:B21)</f>
        <v>8647.5426217048189</v>
      </c>
      <c r="C23">
        <f t="shared" ref="C23:G23" si="0">AVERAGE(C2:C21)</f>
        <v>25204.542621704801</v>
      </c>
      <c r="D23">
        <f t="shared" si="0"/>
        <v>9.1257389601139452E-2</v>
      </c>
      <c r="E23">
        <f t="shared" si="0"/>
        <v>132.05000000000001</v>
      </c>
      <c r="F23">
        <f t="shared" si="0"/>
        <v>7.3</v>
      </c>
      <c r="G23">
        <f t="shared" si="0"/>
        <v>4.742635281385275</v>
      </c>
      <c r="L23" t="s">
        <v>30</v>
      </c>
      <c r="M23">
        <v>2</v>
      </c>
      <c r="N23" t="s">
        <v>22</v>
      </c>
      <c r="O23">
        <v>5</v>
      </c>
      <c r="P23">
        <v>3</v>
      </c>
      <c r="Q23">
        <v>5</v>
      </c>
      <c r="R23" t="s">
        <v>22</v>
      </c>
      <c r="S23">
        <v>112</v>
      </c>
      <c r="T23">
        <v>503</v>
      </c>
    </row>
    <row r="24" spans="1:22" x14ac:dyDescent="0.35">
      <c r="A24" t="s">
        <v>93</v>
      </c>
      <c r="B24">
        <f>_xlfn.STDEV.S(B2:B21)</f>
        <v>9553.4074824496111</v>
      </c>
      <c r="C24">
        <f t="shared" ref="C24:G24" si="1">_xlfn.STDEV.S(C2:C21)</f>
        <v>8974.9025722195056</v>
      </c>
      <c r="D24">
        <f t="shared" si="1"/>
        <v>1.4478918614884017E-2</v>
      </c>
      <c r="E24">
        <f t="shared" si="1"/>
        <v>86.493976060398808</v>
      </c>
      <c r="F24">
        <f t="shared" si="1"/>
        <v>2.1299864096428314</v>
      </c>
      <c r="G24">
        <f t="shared" si="1"/>
        <v>3.4489861437430629</v>
      </c>
      <c r="L24" t="s">
        <v>31</v>
      </c>
      <c r="M24">
        <v>2</v>
      </c>
      <c r="N24" t="s">
        <v>22</v>
      </c>
      <c r="O24">
        <v>5</v>
      </c>
      <c r="P24">
        <v>3</v>
      </c>
      <c r="Q24">
        <v>5</v>
      </c>
      <c r="R24" t="s">
        <v>22</v>
      </c>
      <c r="S24">
        <v>655</v>
      </c>
      <c r="T24">
        <v>90</v>
      </c>
    </row>
    <row r="25" spans="1:22" x14ac:dyDescent="0.35">
      <c r="L25" t="s">
        <v>32</v>
      </c>
      <c r="M25">
        <v>0</v>
      </c>
      <c r="N25" t="s">
        <v>22</v>
      </c>
      <c r="O25">
        <v>6</v>
      </c>
      <c r="P25" t="s">
        <v>22</v>
      </c>
    </row>
    <row r="26" spans="1:22" x14ac:dyDescent="0.35">
      <c r="L26" t="s">
        <v>33</v>
      </c>
      <c r="M26">
        <v>2</v>
      </c>
      <c r="N26" t="s">
        <v>22</v>
      </c>
      <c r="O26">
        <v>6</v>
      </c>
      <c r="P26">
        <v>5</v>
      </c>
      <c r="Q26">
        <v>6</v>
      </c>
      <c r="R26" t="s">
        <v>22</v>
      </c>
      <c r="S26">
        <v>638</v>
      </c>
      <c r="T26">
        <v>15</v>
      </c>
    </row>
    <row r="27" spans="1:22" x14ac:dyDescent="0.35">
      <c r="L27" t="s">
        <v>34</v>
      </c>
      <c r="M27">
        <v>0</v>
      </c>
      <c r="N27" t="s">
        <v>22</v>
      </c>
      <c r="O27">
        <v>7</v>
      </c>
      <c r="P27" t="s">
        <v>22</v>
      </c>
    </row>
    <row r="28" spans="1:22" x14ac:dyDescent="0.35">
      <c r="L28" t="s">
        <v>35</v>
      </c>
      <c r="M28">
        <v>0</v>
      </c>
      <c r="N28" t="s">
        <v>22</v>
      </c>
      <c r="O28">
        <v>7</v>
      </c>
      <c r="P28" t="s">
        <v>22</v>
      </c>
    </row>
    <row r="29" spans="1:22" x14ac:dyDescent="0.35">
      <c r="L29" t="s">
        <v>36</v>
      </c>
      <c r="M29">
        <v>0</v>
      </c>
      <c r="N29" t="s">
        <v>22</v>
      </c>
      <c r="O29">
        <v>8</v>
      </c>
      <c r="P29" t="s">
        <v>22</v>
      </c>
    </row>
    <row r="30" spans="1:22" x14ac:dyDescent="0.35">
      <c r="L30" t="s">
        <v>37</v>
      </c>
      <c r="M30">
        <v>0</v>
      </c>
      <c r="N30" t="s">
        <v>22</v>
      </c>
      <c r="O30">
        <v>8</v>
      </c>
      <c r="P30" t="s">
        <v>22</v>
      </c>
    </row>
    <row r="31" spans="1:22" x14ac:dyDescent="0.35">
      <c r="L31" t="s">
        <v>38</v>
      </c>
      <c r="M31">
        <v>0</v>
      </c>
      <c r="N31" t="s">
        <v>22</v>
      </c>
      <c r="O31">
        <v>9</v>
      </c>
      <c r="P31" t="s">
        <v>22</v>
      </c>
    </row>
    <row r="32" spans="1:22" x14ac:dyDescent="0.35">
      <c r="L32" t="s">
        <v>39</v>
      </c>
      <c r="M32">
        <v>0</v>
      </c>
      <c r="N32" t="s">
        <v>22</v>
      </c>
      <c r="O32">
        <v>9</v>
      </c>
      <c r="P32" t="s">
        <v>22</v>
      </c>
    </row>
    <row r="33" spans="12:27" x14ac:dyDescent="0.35">
      <c r="L33" t="s">
        <v>40</v>
      </c>
      <c r="M33">
        <v>3</v>
      </c>
      <c r="N33" t="s">
        <v>22</v>
      </c>
      <c r="O33">
        <v>10</v>
      </c>
      <c r="P33">
        <v>1</v>
      </c>
      <c r="Q33">
        <v>4</v>
      </c>
      <c r="R33">
        <v>1</v>
      </c>
      <c r="S33" t="s">
        <v>22</v>
      </c>
      <c r="T33">
        <v>15</v>
      </c>
      <c r="U33">
        <v>632</v>
      </c>
      <c r="V33">
        <v>33</v>
      </c>
    </row>
    <row r="34" spans="12:27" x14ac:dyDescent="0.35">
      <c r="L34" t="s">
        <v>41</v>
      </c>
      <c r="M34">
        <v>0</v>
      </c>
      <c r="N34" t="s">
        <v>22</v>
      </c>
      <c r="O34">
        <v>10</v>
      </c>
      <c r="P34" t="s">
        <v>22</v>
      </c>
    </row>
    <row r="35" spans="12:27" x14ac:dyDescent="0.35">
      <c r="L35" t="s">
        <v>42</v>
      </c>
      <c r="M35" t="s">
        <v>43</v>
      </c>
    </row>
    <row r="36" spans="12:27" x14ac:dyDescent="0.35">
      <c r="L36" t="s">
        <v>8</v>
      </c>
    </row>
    <row r="37" spans="12:27" x14ac:dyDescent="0.35">
      <c r="L37" t="s">
        <v>44</v>
      </c>
      <c r="M37">
        <v>54</v>
      </c>
      <c r="N37" t="s">
        <v>22</v>
      </c>
      <c r="O37" t="s">
        <v>45</v>
      </c>
      <c r="P37">
        <v>19</v>
      </c>
      <c r="Q37" t="s">
        <v>22</v>
      </c>
      <c r="R37" t="s">
        <v>46</v>
      </c>
      <c r="S37" t="s">
        <v>50</v>
      </c>
      <c r="T37" t="s">
        <v>22</v>
      </c>
      <c r="U37">
        <v>1</v>
      </c>
      <c r="V37" t="s">
        <v>48</v>
      </c>
      <c r="W37">
        <v>4</v>
      </c>
      <c r="X37" t="s">
        <v>22</v>
      </c>
      <c r="Y37" t="s">
        <v>49</v>
      </c>
      <c r="Z37" t="s">
        <v>22</v>
      </c>
      <c r="AA37" t="s">
        <v>115</v>
      </c>
    </row>
    <row r="38" spans="12:27" x14ac:dyDescent="0.35">
      <c r="L38" t="s">
        <v>44</v>
      </c>
      <c r="M38">
        <v>58</v>
      </c>
      <c r="N38" t="s">
        <v>22</v>
      </c>
      <c r="O38" t="s">
        <v>45</v>
      </c>
      <c r="P38">
        <v>19</v>
      </c>
      <c r="Q38" t="s">
        <v>22</v>
      </c>
      <c r="R38" t="s">
        <v>46</v>
      </c>
      <c r="S38" t="s">
        <v>73</v>
      </c>
      <c r="T38" t="s">
        <v>22</v>
      </c>
      <c r="U38">
        <v>4</v>
      </c>
      <c r="V38" t="s">
        <v>48</v>
      </c>
      <c r="W38">
        <v>1</v>
      </c>
      <c r="X38" t="s">
        <v>22</v>
      </c>
      <c r="Y38" t="s">
        <v>49</v>
      </c>
      <c r="Z38" t="s">
        <v>22</v>
      </c>
      <c r="AA38" t="s">
        <v>116</v>
      </c>
    </row>
    <row r="39" spans="12:27" x14ac:dyDescent="0.35">
      <c r="L39" t="s">
        <v>44</v>
      </c>
      <c r="M39">
        <v>4</v>
      </c>
      <c r="N39" t="s">
        <v>22</v>
      </c>
      <c r="O39" t="s">
        <v>45</v>
      </c>
      <c r="P39">
        <v>7</v>
      </c>
      <c r="Q39" t="s">
        <v>22</v>
      </c>
      <c r="R39" t="s">
        <v>46</v>
      </c>
      <c r="S39" t="s">
        <v>47</v>
      </c>
      <c r="T39" t="s">
        <v>22</v>
      </c>
      <c r="U39">
        <v>4</v>
      </c>
      <c r="V39" t="s">
        <v>48</v>
      </c>
      <c r="W39">
        <v>10</v>
      </c>
      <c r="X39" t="s">
        <v>22</v>
      </c>
      <c r="Y39" t="s">
        <v>49</v>
      </c>
      <c r="Z39" t="s">
        <v>22</v>
      </c>
      <c r="AA39" t="s">
        <v>117</v>
      </c>
    </row>
    <row r="40" spans="12:27" x14ac:dyDescent="0.35">
      <c r="L40" t="s">
        <v>44</v>
      </c>
      <c r="M40">
        <v>11</v>
      </c>
      <c r="N40" t="s">
        <v>22</v>
      </c>
      <c r="O40" t="s">
        <v>45</v>
      </c>
      <c r="P40">
        <v>9</v>
      </c>
      <c r="Q40" t="s">
        <v>22</v>
      </c>
      <c r="R40" t="s">
        <v>46</v>
      </c>
      <c r="S40" t="s">
        <v>47</v>
      </c>
      <c r="T40" t="s">
        <v>22</v>
      </c>
      <c r="U40">
        <v>5</v>
      </c>
      <c r="V40" t="s">
        <v>48</v>
      </c>
      <c r="W40">
        <v>3</v>
      </c>
      <c r="X40" t="s">
        <v>22</v>
      </c>
      <c r="Y40" t="s">
        <v>49</v>
      </c>
      <c r="Z40" t="s">
        <v>22</v>
      </c>
      <c r="AA40" t="s">
        <v>52</v>
      </c>
    </row>
    <row r="41" spans="12:27" x14ac:dyDescent="0.35">
      <c r="L41" t="s">
        <v>44</v>
      </c>
      <c r="M41">
        <v>47</v>
      </c>
      <c r="N41" t="s">
        <v>22</v>
      </c>
      <c r="O41" t="s">
        <v>45</v>
      </c>
      <c r="P41">
        <v>9</v>
      </c>
      <c r="Q41" t="s">
        <v>22</v>
      </c>
      <c r="R41" t="s">
        <v>46</v>
      </c>
      <c r="S41" t="s">
        <v>50</v>
      </c>
      <c r="T41" t="s">
        <v>22</v>
      </c>
      <c r="U41">
        <v>3</v>
      </c>
      <c r="V41" t="s">
        <v>48</v>
      </c>
      <c r="W41">
        <v>5</v>
      </c>
      <c r="X41" t="s">
        <v>22</v>
      </c>
      <c r="Y41" t="s">
        <v>49</v>
      </c>
      <c r="Z41" t="s">
        <v>22</v>
      </c>
      <c r="AA41" t="s">
        <v>118</v>
      </c>
    </row>
    <row r="42" spans="12:27" x14ac:dyDescent="0.35">
      <c r="L42" t="s">
        <v>44</v>
      </c>
      <c r="M42">
        <v>53</v>
      </c>
      <c r="N42" t="s">
        <v>22</v>
      </c>
      <c r="O42" t="s">
        <v>45</v>
      </c>
      <c r="P42">
        <v>10</v>
      </c>
      <c r="Q42" t="s">
        <v>22</v>
      </c>
      <c r="R42" t="s">
        <v>46</v>
      </c>
      <c r="S42" t="s">
        <v>47</v>
      </c>
      <c r="T42" t="s">
        <v>22</v>
      </c>
      <c r="U42">
        <v>5</v>
      </c>
      <c r="V42" t="s">
        <v>48</v>
      </c>
      <c r="W42">
        <v>3</v>
      </c>
      <c r="X42" t="s">
        <v>22</v>
      </c>
      <c r="Y42" t="s">
        <v>49</v>
      </c>
      <c r="Z42" t="s">
        <v>22</v>
      </c>
      <c r="AA42" t="s">
        <v>95</v>
      </c>
    </row>
    <row r="43" spans="12:27" x14ac:dyDescent="0.35">
      <c r="L43" t="s">
        <v>44</v>
      </c>
      <c r="M43">
        <v>49</v>
      </c>
      <c r="N43" t="s">
        <v>22</v>
      </c>
      <c r="O43" t="s">
        <v>45</v>
      </c>
      <c r="P43">
        <v>12</v>
      </c>
      <c r="Q43" t="s">
        <v>22</v>
      </c>
      <c r="R43" t="s">
        <v>46</v>
      </c>
      <c r="S43" t="s">
        <v>47</v>
      </c>
      <c r="T43" t="s">
        <v>22</v>
      </c>
      <c r="U43">
        <v>6</v>
      </c>
      <c r="V43" t="s">
        <v>48</v>
      </c>
      <c r="W43">
        <v>5</v>
      </c>
      <c r="X43" t="s">
        <v>22</v>
      </c>
      <c r="Y43" t="s">
        <v>51</v>
      </c>
      <c r="Z43" t="s">
        <v>22</v>
      </c>
      <c r="AA43" t="s">
        <v>119</v>
      </c>
    </row>
    <row r="44" spans="12:27" x14ac:dyDescent="0.35">
      <c r="L44" t="s">
        <v>44</v>
      </c>
      <c r="M44">
        <v>25</v>
      </c>
      <c r="N44" t="s">
        <v>22</v>
      </c>
      <c r="O44" t="s">
        <v>45</v>
      </c>
      <c r="P44">
        <v>7</v>
      </c>
      <c r="Q44" t="s">
        <v>22</v>
      </c>
      <c r="R44" t="s">
        <v>46</v>
      </c>
      <c r="S44" t="s">
        <v>50</v>
      </c>
      <c r="T44" t="s">
        <v>22</v>
      </c>
      <c r="U44">
        <v>10</v>
      </c>
      <c r="V44" t="s">
        <v>48</v>
      </c>
      <c r="W44">
        <v>3</v>
      </c>
      <c r="X44" t="s">
        <v>22</v>
      </c>
      <c r="Y44" t="s">
        <v>51</v>
      </c>
      <c r="Z44" t="s">
        <v>22</v>
      </c>
      <c r="AA44" t="s">
        <v>120</v>
      </c>
    </row>
    <row r="45" spans="12:27" x14ac:dyDescent="0.35">
      <c r="L45" t="s">
        <v>44</v>
      </c>
      <c r="M45">
        <v>62</v>
      </c>
      <c r="N45" t="s">
        <v>22</v>
      </c>
      <c r="O45" t="s">
        <v>45</v>
      </c>
      <c r="P45">
        <v>1</v>
      </c>
      <c r="Q45" t="s">
        <v>22</v>
      </c>
      <c r="R45" t="s">
        <v>46</v>
      </c>
      <c r="S45" t="s">
        <v>47</v>
      </c>
      <c r="T45" t="s">
        <v>22</v>
      </c>
      <c r="U45">
        <v>1</v>
      </c>
      <c r="V45" t="s">
        <v>48</v>
      </c>
      <c r="W45">
        <v>10</v>
      </c>
      <c r="X45" t="s">
        <v>22</v>
      </c>
      <c r="Y45" t="s">
        <v>51</v>
      </c>
      <c r="Z45" t="s">
        <v>22</v>
      </c>
      <c r="AA45" t="s">
        <v>121</v>
      </c>
    </row>
    <row r="46" spans="12:27" x14ac:dyDescent="0.35">
      <c r="L46" t="s">
        <v>9</v>
      </c>
    </row>
    <row r="47" spans="12:27" x14ac:dyDescent="0.35">
      <c r="L47" t="s">
        <v>10</v>
      </c>
    </row>
    <row r="49" spans="12:18" x14ac:dyDescent="0.35">
      <c r="L49" t="s">
        <v>54</v>
      </c>
      <c r="M49">
        <v>1</v>
      </c>
    </row>
    <row r="50" spans="12:18" x14ac:dyDescent="0.35">
      <c r="L50" t="s">
        <v>11</v>
      </c>
    </row>
    <row r="51" spans="12:18" x14ac:dyDescent="0.35">
      <c r="L51" t="s">
        <v>55</v>
      </c>
      <c r="M51" t="s">
        <v>56</v>
      </c>
      <c r="N51" t="s">
        <v>57</v>
      </c>
      <c r="O51" t="s">
        <v>58</v>
      </c>
      <c r="P51" t="s">
        <v>59</v>
      </c>
      <c r="Q51" t="s">
        <v>60</v>
      </c>
      <c r="R51" t="s">
        <v>61</v>
      </c>
    </row>
    <row r="52" spans="12:18" x14ac:dyDescent="0.35">
      <c r="L52" t="s">
        <v>11</v>
      </c>
    </row>
    <row r="53" spans="12:18" x14ac:dyDescent="0.35">
      <c r="L53">
        <v>1</v>
      </c>
      <c r="M53">
        <v>1</v>
      </c>
      <c r="N53">
        <v>10</v>
      </c>
      <c r="O53">
        <v>752</v>
      </c>
      <c r="P53">
        <v>762</v>
      </c>
      <c r="Q53">
        <v>10</v>
      </c>
      <c r="R53">
        <v>1</v>
      </c>
    </row>
    <row r="55" spans="12:18" x14ac:dyDescent="0.35">
      <c r="L55" t="s">
        <v>54</v>
      </c>
      <c r="M55">
        <v>7</v>
      </c>
    </row>
    <row r="56" spans="12:18" x14ac:dyDescent="0.35">
      <c r="L56" t="s">
        <v>11</v>
      </c>
    </row>
    <row r="57" spans="12:18" x14ac:dyDescent="0.35">
      <c r="L57" t="s">
        <v>55</v>
      </c>
      <c r="M57" t="s">
        <v>56</v>
      </c>
      <c r="N57" t="s">
        <v>57</v>
      </c>
      <c r="O57" t="s">
        <v>58</v>
      </c>
      <c r="P57" t="s">
        <v>59</v>
      </c>
      <c r="Q57" t="s">
        <v>60</v>
      </c>
      <c r="R57" t="s">
        <v>61</v>
      </c>
    </row>
    <row r="58" spans="12:18" x14ac:dyDescent="0.35">
      <c r="L58" t="s">
        <v>11</v>
      </c>
    </row>
    <row r="59" spans="12:18" x14ac:dyDescent="0.35">
      <c r="L59">
        <v>1</v>
      </c>
      <c r="M59">
        <v>4</v>
      </c>
      <c r="N59">
        <v>10</v>
      </c>
      <c r="O59">
        <v>71</v>
      </c>
      <c r="P59">
        <v>96</v>
      </c>
      <c r="Q59">
        <v>25</v>
      </c>
      <c r="R59">
        <v>0</v>
      </c>
    </row>
    <row r="60" spans="12:18" x14ac:dyDescent="0.35">
      <c r="L60">
        <v>2</v>
      </c>
      <c r="M60">
        <v>10</v>
      </c>
      <c r="N60">
        <v>3</v>
      </c>
      <c r="O60">
        <v>174</v>
      </c>
      <c r="P60">
        <v>193</v>
      </c>
      <c r="Q60">
        <v>19</v>
      </c>
      <c r="R60">
        <v>1</v>
      </c>
    </row>
    <row r="61" spans="12:18" x14ac:dyDescent="0.35">
      <c r="L61">
        <v>3</v>
      </c>
      <c r="M61">
        <v>3</v>
      </c>
      <c r="N61">
        <v>4</v>
      </c>
      <c r="O61">
        <v>208</v>
      </c>
      <c r="P61">
        <v>224</v>
      </c>
      <c r="Q61">
        <v>16</v>
      </c>
      <c r="R61">
        <v>4</v>
      </c>
    </row>
    <row r="63" spans="12:18" x14ac:dyDescent="0.35">
      <c r="L63" t="s">
        <v>54</v>
      </c>
      <c r="M63">
        <v>9</v>
      </c>
    </row>
    <row r="64" spans="12:18" x14ac:dyDescent="0.35">
      <c r="L64" t="s">
        <v>11</v>
      </c>
    </row>
    <row r="65" spans="12:18" x14ac:dyDescent="0.35">
      <c r="L65" t="s">
        <v>55</v>
      </c>
      <c r="M65" t="s">
        <v>56</v>
      </c>
      <c r="N65" t="s">
        <v>57</v>
      </c>
      <c r="O65" t="s">
        <v>58</v>
      </c>
      <c r="P65" t="s">
        <v>59</v>
      </c>
      <c r="Q65" t="s">
        <v>60</v>
      </c>
      <c r="R65" t="s">
        <v>61</v>
      </c>
    </row>
    <row r="66" spans="12:18" x14ac:dyDescent="0.35">
      <c r="L66" t="s">
        <v>11</v>
      </c>
    </row>
    <row r="67" spans="12:18" x14ac:dyDescent="0.35">
      <c r="L67">
        <v>1</v>
      </c>
      <c r="M67">
        <v>5</v>
      </c>
      <c r="N67">
        <v>3</v>
      </c>
      <c r="O67">
        <v>112</v>
      </c>
      <c r="P67">
        <v>125</v>
      </c>
      <c r="Q67">
        <v>13</v>
      </c>
      <c r="R67">
        <v>0</v>
      </c>
    </row>
    <row r="68" spans="12:18" x14ac:dyDescent="0.35">
      <c r="L68">
        <v>2</v>
      </c>
      <c r="M68">
        <v>3</v>
      </c>
      <c r="N68">
        <v>5</v>
      </c>
      <c r="O68">
        <v>628</v>
      </c>
      <c r="P68">
        <v>641</v>
      </c>
      <c r="Q68">
        <v>13</v>
      </c>
      <c r="R68">
        <v>0</v>
      </c>
    </row>
    <row r="70" spans="12:18" x14ac:dyDescent="0.35">
      <c r="L70" t="s">
        <v>54</v>
      </c>
      <c r="M70">
        <v>10</v>
      </c>
    </row>
    <row r="71" spans="12:18" x14ac:dyDescent="0.35">
      <c r="L71" t="s">
        <v>11</v>
      </c>
    </row>
    <row r="72" spans="12:18" x14ac:dyDescent="0.35">
      <c r="L72" t="s">
        <v>55</v>
      </c>
      <c r="M72" t="s">
        <v>56</v>
      </c>
      <c r="N72" t="s">
        <v>57</v>
      </c>
      <c r="O72" t="s">
        <v>58</v>
      </c>
      <c r="P72" t="s">
        <v>59</v>
      </c>
      <c r="Q72" t="s">
        <v>60</v>
      </c>
      <c r="R72" t="s">
        <v>61</v>
      </c>
    </row>
    <row r="73" spans="12:18" x14ac:dyDescent="0.35">
      <c r="L73" t="s">
        <v>11</v>
      </c>
    </row>
    <row r="74" spans="12:18" x14ac:dyDescent="0.35">
      <c r="L74">
        <v>1</v>
      </c>
      <c r="M74">
        <v>5</v>
      </c>
      <c r="N74">
        <v>3</v>
      </c>
      <c r="O74">
        <v>655</v>
      </c>
      <c r="P74">
        <v>668</v>
      </c>
      <c r="Q74">
        <v>13</v>
      </c>
      <c r="R74">
        <v>0</v>
      </c>
    </row>
    <row r="75" spans="12:18" x14ac:dyDescent="0.35">
      <c r="L75">
        <v>2</v>
      </c>
      <c r="M75">
        <v>3</v>
      </c>
      <c r="N75">
        <v>5</v>
      </c>
      <c r="O75">
        <v>758</v>
      </c>
      <c r="P75">
        <v>771</v>
      </c>
      <c r="Q75">
        <v>13</v>
      </c>
      <c r="R75">
        <v>4</v>
      </c>
    </row>
    <row r="77" spans="12:18" x14ac:dyDescent="0.35">
      <c r="L77" t="s">
        <v>54</v>
      </c>
      <c r="M77">
        <v>12</v>
      </c>
    </row>
    <row r="78" spans="12:18" x14ac:dyDescent="0.35">
      <c r="L78" t="s">
        <v>11</v>
      </c>
    </row>
    <row r="79" spans="12:18" x14ac:dyDescent="0.35">
      <c r="L79" t="s">
        <v>55</v>
      </c>
      <c r="M79" t="s">
        <v>56</v>
      </c>
      <c r="N79" t="s">
        <v>57</v>
      </c>
      <c r="O79" t="s">
        <v>58</v>
      </c>
      <c r="P79" t="s">
        <v>59</v>
      </c>
      <c r="Q79" t="s">
        <v>60</v>
      </c>
      <c r="R79" t="s">
        <v>61</v>
      </c>
    </row>
    <row r="80" spans="12:18" x14ac:dyDescent="0.35">
      <c r="L80" t="s">
        <v>11</v>
      </c>
    </row>
    <row r="81" spans="12:18" x14ac:dyDescent="0.35">
      <c r="L81">
        <v>1</v>
      </c>
      <c r="M81">
        <v>6</v>
      </c>
      <c r="N81">
        <v>5</v>
      </c>
      <c r="O81">
        <v>638</v>
      </c>
      <c r="P81">
        <v>652</v>
      </c>
      <c r="Q81">
        <v>14</v>
      </c>
      <c r="R81">
        <v>1</v>
      </c>
    </row>
    <row r="82" spans="12:18" x14ac:dyDescent="0.35">
      <c r="L82">
        <v>2</v>
      </c>
      <c r="M82">
        <v>5</v>
      </c>
      <c r="N82">
        <v>6</v>
      </c>
      <c r="O82">
        <v>667</v>
      </c>
      <c r="P82">
        <v>681</v>
      </c>
      <c r="Q82">
        <v>14</v>
      </c>
      <c r="R82">
        <v>4</v>
      </c>
    </row>
    <row r="84" spans="12:18" x14ac:dyDescent="0.35">
      <c r="L84" t="s">
        <v>54</v>
      </c>
      <c r="M84">
        <v>19</v>
      </c>
    </row>
    <row r="85" spans="12:18" x14ac:dyDescent="0.35">
      <c r="L85" t="s">
        <v>11</v>
      </c>
    </row>
    <row r="86" spans="12:18" x14ac:dyDescent="0.35">
      <c r="L86" t="s">
        <v>55</v>
      </c>
      <c r="M86" t="s">
        <v>56</v>
      </c>
      <c r="N86" t="s">
        <v>57</v>
      </c>
      <c r="O86" t="s">
        <v>58</v>
      </c>
      <c r="P86" t="s">
        <v>59</v>
      </c>
      <c r="Q86" t="s">
        <v>60</v>
      </c>
      <c r="R86" t="s">
        <v>61</v>
      </c>
    </row>
    <row r="87" spans="12:18" x14ac:dyDescent="0.35">
      <c r="L87" t="s">
        <v>11</v>
      </c>
    </row>
    <row r="88" spans="12:18" x14ac:dyDescent="0.35">
      <c r="L88">
        <v>1</v>
      </c>
      <c r="M88">
        <v>10</v>
      </c>
      <c r="N88">
        <v>1</v>
      </c>
      <c r="O88">
        <v>15</v>
      </c>
      <c r="P88">
        <v>25</v>
      </c>
      <c r="Q88">
        <v>10</v>
      </c>
      <c r="R88">
        <v>4</v>
      </c>
    </row>
    <row r="89" spans="12:18" x14ac:dyDescent="0.35">
      <c r="L89">
        <v>2</v>
      </c>
      <c r="M89">
        <v>1</v>
      </c>
      <c r="N89">
        <v>4</v>
      </c>
      <c r="O89">
        <v>657</v>
      </c>
      <c r="P89">
        <v>687</v>
      </c>
      <c r="Q89">
        <v>30</v>
      </c>
      <c r="R89">
        <v>0</v>
      </c>
    </row>
    <row r="90" spans="12:18" x14ac:dyDescent="0.35">
      <c r="L90">
        <v>3</v>
      </c>
      <c r="M90">
        <v>4</v>
      </c>
      <c r="N90">
        <v>1</v>
      </c>
      <c r="O90">
        <v>720</v>
      </c>
      <c r="P90">
        <v>750</v>
      </c>
      <c r="Q90">
        <v>30</v>
      </c>
      <c r="R90">
        <v>0</v>
      </c>
    </row>
    <row r="92" spans="12:18" x14ac:dyDescent="0.35">
      <c r="L92" t="s">
        <v>62</v>
      </c>
      <c r="M92" t="s">
        <v>63</v>
      </c>
      <c r="N92">
        <v>13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C6AB-9BEA-4D2E-BD52-FF267A4776F0}">
  <dimension ref="A1:AB120"/>
  <sheetViews>
    <sheetView topLeftCell="I23" workbookViewId="0">
      <selection activeCell="P14" sqref="P14:S14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3" x14ac:dyDescent="0.35">
      <c r="A2">
        <v>1</v>
      </c>
      <c r="B2">
        <v>-7343.2601668092002</v>
      </c>
      <c r="C2">
        <v>9016.7398331907898</v>
      </c>
      <c r="D2">
        <v>0.110897435897435</v>
      </c>
      <c r="E2">
        <v>53</v>
      </c>
      <c r="F2">
        <v>2</v>
      </c>
      <c r="G2">
        <v>0</v>
      </c>
    </row>
    <row r="3" spans="1:23" x14ac:dyDescent="0.35">
      <c r="A3">
        <v>2</v>
      </c>
      <c r="B3">
        <v>2353.0013924333898</v>
      </c>
      <c r="C3">
        <v>19453.0013924333</v>
      </c>
      <c r="D3">
        <v>0.127564102564102</v>
      </c>
      <c r="E3">
        <v>96</v>
      </c>
      <c r="F3">
        <v>5</v>
      </c>
      <c r="G3">
        <v>2.2000000000000002</v>
      </c>
    </row>
    <row r="4" spans="1:23" x14ac:dyDescent="0.35">
      <c r="A4">
        <v>3</v>
      </c>
      <c r="B4">
        <v>2761.0546106752299</v>
      </c>
      <c r="C4">
        <v>19461.054610675201</v>
      </c>
      <c r="D4">
        <v>0.151175213675213</v>
      </c>
      <c r="E4">
        <v>32</v>
      </c>
      <c r="F4">
        <v>6</v>
      </c>
      <c r="G4">
        <v>6.3333333333333304</v>
      </c>
    </row>
    <row r="5" spans="1:23" x14ac:dyDescent="0.35">
      <c r="A5">
        <v>4</v>
      </c>
      <c r="B5">
        <v>-3286.9252560130799</v>
      </c>
      <c r="C5">
        <v>13613.074743986899</v>
      </c>
      <c r="D5">
        <v>0.203525641025641</v>
      </c>
      <c r="E5">
        <v>62</v>
      </c>
      <c r="F5">
        <v>5</v>
      </c>
      <c r="G5">
        <v>8.1999999999999993</v>
      </c>
    </row>
    <row r="6" spans="1:23" x14ac:dyDescent="0.35">
      <c r="A6">
        <v>5</v>
      </c>
      <c r="B6">
        <v>-6914.2541618482701</v>
      </c>
      <c r="C6">
        <v>11285.745838151701</v>
      </c>
      <c r="D6">
        <v>0.19230769230769201</v>
      </c>
      <c r="E6">
        <v>10</v>
      </c>
      <c r="F6">
        <v>2</v>
      </c>
      <c r="G6">
        <v>9.5</v>
      </c>
      <c r="M6" t="s">
        <v>12</v>
      </c>
      <c r="N6" t="s">
        <v>13</v>
      </c>
      <c r="O6" t="s">
        <v>14</v>
      </c>
      <c r="P6" t="s">
        <v>15</v>
      </c>
    </row>
    <row r="7" spans="1:23" x14ac:dyDescent="0.35">
      <c r="A7">
        <v>6</v>
      </c>
      <c r="B7">
        <v>8679.6241456027692</v>
      </c>
      <c r="C7">
        <v>25299.624145602698</v>
      </c>
      <c r="D7">
        <v>0.14401709401709401</v>
      </c>
      <c r="E7">
        <v>201</v>
      </c>
      <c r="F7">
        <v>8</v>
      </c>
      <c r="G7">
        <v>2.125</v>
      </c>
      <c r="M7" t="s">
        <v>16</v>
      </c>
      <c r="N7" t="s">
        <v>17</v>
      </c>
      <c r="O7">
        <v>29093.424458147601</v>
      </c>
    </row>
    <row r="8" spans="1:23" x14ac:dyDescent="0.35">
      <c r="A8">
        <v>7</v>
      </c>
      <c r="B8">
        <v>-1730.94611603202</v>
      </c>
      <c r="C8">
        <v>15169.053883967899</v>
      </c>
      <c r="D8">
        <v>0.13675213675213599</v>
      </c>
      <c r="E8">
        <v>75</v>
      </c>
      <c r="F8">
        <v>4</v>
      </c>
      <c r="G8">
        <v>11</v>
      </c>
      <c r="M8" t="s">
        <v>18</v>
      </c>
      <c r="N8" t="s">
        <v>17</v>
      </c>
      <c r="O8">
        <v>46153.424458147601</v>
      </c>
    </row>
    <row r="9" spans="1:23" x14ac:dyDescent="0.35">
      <c r="A9">
        <v>8</v>
      </c>
      <c r="B9">
        <v>-3749.2541618482701</v>
      </c>
      <c r="C9">
        <v>14150.745838151701</v>
      </c>
      <c r="D9">
        <v>0.19230769230769201</v>
      </c>
      <c r="E9">
        <v>10</v>
      </c>
      <c r="F9">
        <v>2</v>
      </c>
      <c r="G9">
        <v>0</v>
      </c>
      <c r="M9" t="s">
        <v>19</v>
      </c>
      <c r="N9" t="s">
        <v>20</v>
      </c>
    </row>
    <row r="10" spans="1:23" x14ac:dyDescent="0.35">
      <c r="A10">
        <v>9</v>
      </c>
      <c r="B10">
        <v>-4886.2141587636597</v>
      </c>
      <c r="C10">
        <v>11713.7858412363</v>
      </c>
      <c r="D10">
        <v>0.124786324786324</v>
      </c>
      <c r="E10">
        <v>80</v>
      </c>
      <c r="F10">
        <v>4</v>
      </c>
      <c r="G10">
        <v>7.5</v>
      </c>
      <c r="M10" t="s">
        <v>7</v>
      </c>
    </row>
    <row r="11" spans="1:23" x14ac:dyDescent="0.35">
      <c r="A11">
        <v>10</v>
      </c>
      <c r="B11">
        <v>-5545.2878357258696</v>
      </c>
      <c r="C11">
        <v>11154.7121642741</v>
      </c>
      <c r="D11">
        <v>0.114903846153846</v>
      </c>
      <c r="E11">
        <v>19</v>
      </c>
      <c r="F11">
        <v>3</v>
      </c>
      <c r="G11">
        <v>3.3333333333333299</v>
      </c>
      <c r="M11" t="s">
        <v>21</v>
      </c>
      <c r="N11">
        <v>3</v>
      </c>
      <c r="O11" t="s">
        <v>22</v>
      </c>
      <c r="P11">
        <v>1</v>
      </c>
      <c r="Q11">
        <v>10</v>
      </c>
      <c r="R11">
        <v>1</v>
      </c>
      <c r="S11">
        <v>10</v>
      </c>
      <c r="T11" t="s">
        <v>22</v>
      </c>
      <c r="U11">
        <v>62</v>
      </c>
      <c r="V11">
        <v>167</v>
      </c>
      <c r="W11">
        <v>103</v>
      </c>
    </row>
    <row r="12" spans="1:23" x14ac:dyDescent="0.35">
      <c r="A12">
        <v>11</v>
      </c>
      <c r="B12">
        <v>-5071.9821695686996</v>
      </c>
      <c r="C12">
        <v>11768.017830431199</v>
      </c>
      <c r="D12">
        <v>0.152003205128205</v>
      </c>
      <c r="E12">
        <v>107</v>
      </c>
      <c r="F12">
        <v>6</v>
      </c>
      <c r="G12">
        <v>0</v>
      </c>
      <c r="M12" t="s">
        <v>23</v>
      </c>
      <c r="N12">
        <v>2</v>
      </c>
      <c r="O12" t="s">
        <v>22</v>
      </c>
      <c r="P12">
        <v>1</v>
      </c>
      <c r="Q12">
        <v>5</v>
      </c>
      <c r="R12">
        <v>3</v>
      </c>
      <c r="S12" t="s">
        <v>22</v>
      </c>
      <c r="T12">
        <v>181</v>
      </c>
      <c r="U12">
        <v>396</v>
      </c>
    </row>
    <row r="13" spans="1:23" x14ac:dyDescent="0.35">
      <c r="A13">
        <v>12</v>
      </c>
      <c r="B13">
        <v>-10821.7161526293</v>
      </c>
      <c r="C13">
        <v>6478.2838473706397</v>
      </c>
      <c r="D13">
        <v>0.20576923076923001</v>
      </c>
      <c r="E13">
        <v>0</v>
      </c>
      <c r="F13">
        <v>3</v>
      </c>
      <c r="G13">
        <v>1.3333333333333299</v>
      </c>
      <c r="M13" t="s">
        <v>24</v>
      </c>
      <c r="N13">
        <v>0</v>
      </c>
      <c r="O13" t="s">
        <v>22</v>
      </c>
      <c r="P13">
        <v>2</v>
      </c>
      <c r="Q13" t="s">
        <v>22</v>
      </c>
    </row>
    <row r="14" spans="1:23" x14ac:dyDescent="0.35">
      <c r="A14">
        <v>13</v>
      </c>
      <c r="B14">
        <v>4814.2922609916404</v>
      </c>
      <c r="C14">
        <v>21454.292260991599</v>
      </c>
      <c r="D14">
        <v>0.20897435897435801</v>
      </c>
      <c r="E14">
        <v>71</v>
      </c>
      <c r="F14">
        <v>8</v>
      </c>
      <c r="G14">
        <v>8</v>
      </c>
      <c r="M14" t="s">
        <v>25</v>
      </c>
      <c r="N14">
        <v>3</v>
      </c>
      <c r="O14" t="s">
        <v>22</v>
      </c>
      <c r="P14">
        <v>2</v>
      </c>
      <c r="Q14">
        <v>3</v>
      </c>
      <c r="R14">
        <v>1</v>
      </c>
      <c r="S14">
        <v>4</v>
      </c>
      <c r="T14" t="s">
        <v>22</v>
      </c>
      <c r="U14">
        <v>30</v>
      </c>
      <c r="V14">
        <v>608</v>
      </c>
      <c r="W14">
        <v>30</v>
      </c>
    </row>
    <row r="15" spans="1:23" x14ac:dyDescent="0.35">
      <c r="A15">
        <v>14</v>
      </c>
      <c r="B15">
        <v>-773.16832511706798</v>
      </c>
      <c r="C15">
        <v>17126.831674882898</v>
      </c>
      <c r="D15">
        <v>0.19679487179487101</v>
      </c>
      <c r="E15">
        <v>55</v>
      </c>
      <c r="F15">
        <v>4</v>
      </c>
      <c r="G15">
        <v>5.25</v>
      </c>
      <c r="M15" t="s">
        <v>26</v>
      </c>
      <c r="N15">
        <v>0</v>
      </c>
      <c r="O15" t="s">
        <v>22</v>
      </c>
      <c r="P15">
        <v>3</v>
      </c>
      <c r="Q15" t="s">
        <v>22</v>
      </c>
    </row>
    <row r="16" spans="1:23" x14ac:dyDescent="0.35">
      <c r="A16">
        <v>15</v>
      </c>
      <c r="B16">
        <v>827.52100349728005</v>
      </c>
      <c r="C16">
        <v>17227.521003497201</v>
      </c>
      <c r="D16">
        <v>0.298397435897435</v>
      </c>
      <c r="E16">
        <v>55</v>
      </c>
      <c r="F16">
        <v>8</v>
      </c>
      <c r="G16">
        <v>8.625</v>
      </c>
      <c r="M16" t="s">
        <v>27</v>
      </c>
      <c r="N16">
        <v>1</v>
      </c>
      <c r="O16" t="s">
        <v>22</v>
      </c>
      <c r="P16">
        <v>3</v>
      </c>
      <c r="Q16">
        <v>10</v>
      </c>
      <c r="R16" t="s">
        <v>22</v>
      </c>
      <c r="S16">
        <v>85</v>
      </c>
    </row>
    <row r="17" spans="1:23" x14ac:dyDescent="0.35">
      <c r="A17">
        <v>16</v>
      </c>
      <c r="B17">
        <v>4697.4904012275301</v>
      </c>
      <c r="C17">
        <v>20297.4904012275</v>
      </c>
      <c r="D17">
        <v>0.28717948717948699</v>
      </c>
      <c r="E17">
        <v>99</v>
      </c>
      <c r="F17">
        <v>5</v>
      </c>
      <c r="G17">
        <v>5.8</v>
      </c>
      <c r="M17" t="s">
        <v>28</v>
      </c>
      <c r="N17">
        <v>2</v>
      </c>
      <c r="O17" t="s">
        <v>22</v>
      </c>
      <c r="P17">
        <v>4</v>
      </c>
      <c r="Q17">
        <v>1</v>
      </c>
      <c r="R17">
        <v>4</v>
      </c>
      <c r="S17" t="s">
        <v>22</v>
      </c>
      <c r="T17">
        <v>128</v>
      </c>
      <c r="U17">
        <v>36</v>
      </c>
    </row>
    <row r="18" spans="1:23" x14ac:dyDescent="0.35">
      <c r="A18">
        <v>17</v>
      </c>
      <c r="B18">
        <v>29093.424458147601</v>
      </c>
      <c r="C18">
        <v>46153.424458147601</v>
      </c>
      <c r="D18">
        <v>0.15544871794871701</v>
      </c>
      <c r="E18">
        <v>140</v>
      </c>
      <c r="F18">
        <v>13</v>
      </c>
      <c r="G18">
        <v>3.9230769230769198</v>
      </c>
      <c r="M18" t="s">
        <v>29</v>
      </c>
      <c r="N18">
        <v>0</v>
      </c>
      <c r="O18" t="s">
        <v>22</v>
      </c>
      <c r="P18">
        <v>4</v>
      </c>
      <c r="Q18" t="s">
        <v>22</v>
      </c>
    </row>
    <row r="19" spans="1:23" x14ac:dyDescent="0.35">
      <c r="A19">
        <v>18</v>
      </c>
      <c r="B19">
        <v>10872.766968525801</v>
      </c>
      <c r="C19">
        <v>26072.766968525801</v>
      </c>
      <c r="D19">
        <v>0.142788461538461</v>
      </c>
      <c r="E19">
        <v>76</v>
      </c>
      <c r="F19">
        <v>6</v>
      </c>
      <c r="G19">
        <v>2.5</v>
      </c>
      <c r="M19" t="s">
        <v>30</v>
      </c>
      <c r="N19">
        <v>0</v>
      </c>
      <c r="O19" t="s">
        <v>22</v>
      </c>
      <c r="P19">
        <v>5</v>
      </c>
      <c r="Q19" t="s">
        <v>22</v>
      </c>
    </row>
    <row r="20" spans="1:23" x14ac:dyDescent="0.35">
      <c r="A20">
        <v>19</v>
      </c>
      <c r="B20">
        <v>1932.6281178905001</v>
      </c>
      <c r="C20">
        <v>18732.628117890501</v>
      </c>
      <c r="D20">
        <v>0.135897435897435</v>
      </c>
      <c r="E20">
        <v>25</v>
      </c>
      <c r="F20">
        <v>4</v>
      </c>
      <c r="G20">
        <v>0</v>
      </c>
      <c r="M20" t="s">
        <v>31</v>
      </c>
      <c r="N20">
        <v>3</v>
      </c>
      <c r="O20" t="s">
        <v>22</v>
      </c>
      <c r="P20">
        <v>5</v>
      </c>
      <c r="Q20">
        <v>4</v>
      </c>
      <c r="R20">
        <v>1</v>
      </c>
      <c r="S20">
        <v>3</v>
      </c>
      <c r="T20" t="s">
        <v>22</v>
      </c>
      <c r="U20">
        <v>147</v>
      </c>
      <c r="V20">
        <v>254</v>
      </c>
      <c r="W20">
        <v>135</v>
      </c>
    </row>
    <row r="21" spans="1:23" x14ac:dyDescent="0.35">
      <c r="A21">
        <v>20</v>
      </c>
      <c r="B21">
        <v>-2892.6446816621201</v>
      </c>
      <c r="C21">
        <v>15407.355318337801</v>
      </c>
      <c r="D21">
        <v>0.15982905982905901</v>
      </c>
      <c r="E21">
        <v>58</v>
      </c>
      <c r="F21">
        <v>6</v>
      </c>
      <c r="G21">
        <v>7.5</v>
      </c>
      <c r="M21" t="s">
        <v>32</v>
      </c>
      <c r="N21">
        <v>0</v>
      </c>
      <c r="O21" t="s">
        <v>22</v>
      </c>
      <c r="P21">
        <v>6</v>
      </c>
      <c r="Q21" t="s">
        <v>22</v>
      </c>
    </row>
    <row r="22" spans="1:23" x14ac:dyDescent="0.35">
      <c r="M22" t="s">
        <v>33</v>
      </c>
      <c r="N22">
        <v>1</v>
      </c>
      <c r="O22" t="s">
        <v>22</v>
      </c>
      <c r="P22">
        <v>6</v>
      </c>
      <c r="Q22">
        <v>5</v>
      </c>
      <c r="R22" t="s">
        <v>22</v>
      </c>
      <c r="S22">
        <v>187</v>
      </c>
    </row>
    <row r="23" spans="1:23" x14ac:dyDescent="0.35">
      <c r="A23" t="s">
        <v>92</v>
      </c>
      <c r="B23">
        <f>AVERAGE(B2:B21)</f>
        <v>650.80750864870913</v>
      </c>
      <c r="C23">
        <f t="shared" ref="C23:G23" si="0">AVERAGE(C2:C21)</f>
        <v>17551.807508648668</v>
      </c>
      <c r="D23">
        <f t="shared" si="0"/>
        <v>0.17206597222222167</v>
      </c>
      <c r="E23">
        <f t="shared" si="0"/>
        <v>66.2</v>
      </c>
      <c r="F23">
        <f t="shared" si="0"/>
        <v>5.2</v>
      </c>
      <c r="G23">
        <f t="shared" si="0"/>
        <v>4.6561538461538454</v>
      </c>
      <c r="M23" t="s">
        <v>34</v>
      </c>
      <c r="N23">
        <v>2</v>
      </c>
      <c r="O23" t="s">
        <v>22</v>
      </c>
      <c r="P23">
        <v>7</v>
      </c>
      <c r="Q23">
        <v>5</v>
      </c>
      <c r="R23">
        <v>4</v>
      </c>
      <c r="S23" t="s">
        <v>22</v>
      </c>
      <c r="T23">
        <v>639</v>
      </c>
      <c r="U23">
        <v>30</v>
      </c>
    </row>
    <row r="24" spans="1:23" x14ac:dyDescent="0.35">
      <c r="A24" t="s">
        <v>93</v>
      </c>
      <c r="B24">
        <f>_xlfn.STDEV.S(B2:B21)</f>
        <v>8676.4816826054102</v>
      </c>
      <c r="C24">
        <f t="shared" ref="C24:G24" si="1">_xlfn.STDEV.S(C2:C21)</f>
        <v>8469.5875230645815</v>
      </c>
      <c r="D24">
        <f t="shared" si="1"/>
        <v>5.1717053139296025E-2</v>
      </c>
      <c r="E24">
        <f t="shared" si="1"/>
        <v>48.088295982768152</v>
      </c>
      <c r="F24">
        <f t="shared" si="1"/>
        <v>2.6477398504742635</v>
      </c>
      <c r="G24">
        <f t="shared" si="1"/>
        <v>3.5613710382033137</v>
      </c>
      <c r="M24" t="s">
        <v>35</v>
      </c>
      <c r="N24">
        <v>0</v>
      </c>
      <c r="O24" t="s">
        <v>22</v>
      </c>
      <c r="P24">
        <v>7</v>
      </c>
      <c r="Q24" t="s">
        <v>22</v>
      </c>
    </row>
    <row r="25" spans="1:23" x14ac:dyDescent="0.35">
      <c r="M25" t="s">
        <v>36</v>
      </c>
      <c r="N25">
        <v>2</v>
      </c>
      <c r="O25" t="s">
        <v>22</v>
      </c>
      <c r="P25">
        <v>8</v>
      </c>
      <c r="Q25">
        <v>10</v>
      </c>
      <c r="R25">
        <v>8</v>
      </c>
      <c r="S25" t="s">
        <v>22</v>
      </c>
      <c r="T25">
        <v>186</v>
      </c>
      <c r="U25">
        <v>319</v>
      </c>
    </row>
    <row r="26" spans="1:23" x14ac:dyDescent="0.35">
      <c r="M26" t="s">
        <v>37</v>
      </c>
      <c r="N26">
        <v>0</v>
      </c>
      <c r="O26" t="s">
        <v>22</v>
      </c>
      <c r="P26">
        <v>8</v>
      </c>
      <c r="Q26" t="s">
        <v>22</v>
      </c>
    </row>
    <row r="27" spans="1:23" x14ac:dyDescent="0.35">
      <c r="M27" t="s">
        <v>38</v>
      </c>
      <c r="N27">
        <v>2</v>
      </c>
      <c r="O27" t="s">
        <v>22</v>
      </c>
      <c r="P27">
        <v>9</v>
      </c>
      <c r="Q27">
        <v>5</v>
      </c>
      <c r="R27">
        <v>7</v>
      </c>
      <c r="S27" t="s">
        <v>22</v>
      </c>
      <c r="T27">
        <v>252</v>
      </c>
      <c r="U27">
        <v>200</v>
      </c>
    </row>
    <row r="28" spans="1:23" x14ac:dyDescent="0.35">
      <c r="M28" t="s">
        <v>39</v>
      </c>
      <c r="N28">
        <v>0</v>
      </c>
      <c r="O28" t="s">
        <v>22</v>
      </c>
      <c r="P28">
        <v>9</v>
      </c>
      <c r="Q28" t="s">
        <v>22</v>
      </c>
    </row>
    <row r="29" spans="1:23" x14ac:dyDescent="0.35">
      <c r="M29" t="s">
        <v>40</v>
      </c>
      <c r="N29">
        <v>0</v>
      </c>
      <c r="O29" t="s">
        <v>22</v>
      </c>
      <c r="P29">
        <v>10</v>
      </c>
      <c r="Q29" t="s">
        <v>22</v>
      </c>
    </row>
    <row r="30" spans="1:23" x14ac:dyDescent="0.35">
      <c r="M30" t="s">
        <v>41</v>
      </c>
      <c r="N30">
        <v>0</v>
      </c>
      <c r="O30" t="s">
        <v>22</v>
      </c>
      <c r="P30">
        <v>10</v>
      </c>
      <c r="Q30" t="s">
        <v>22</v>
      </c>
    </row>
    <row r="31" spans="1:23" x14ac:dyDescent="0.35">
      <c r="M31" t="s">
        <v>42</v>
      </c>
      <c r="N31" t="s">
        <v>43</v>
      </c>
    </row>
    <row r="32" spans="1:23" x14ac:dyDescent="0.35">
      <c r="M32" t="s">
        <v>8</v>
      </c>
    </row>
    <row r="33" spans="13:28" x14ac:dyDescent="0.35">
      <c r="M33" t="s">
        <v>44</v>
      </c>
      <c r="N33">
        <v>33</v>
      </c>
      <c r="O33" t="s">
        <v>22</v>
      </c>
      <c r="P33" t="s">
        <v>45</v>
      </c>
      <c r="Q33">
        <v>15</v>
      </c>
      <c r="R33" t="s">
        <v>22</v>
      </c>
      <c r="S33" t="s">
        <v>46</v>
      </c>
      <c r="T33" t="s">
        <v>47</v>
      </c>
      <c r="U33" t="s">
        <v>22</v>
      </c>
      <c r="V33">
        <v>8</v>
      </c>
      <c r="W33" t="s">
        <v>48</v>
      </c>
      <c r="X33">
        <v>10</v>
      </c>
      <c r="Y33" t="s">
        <v>22</v>
      </c>
      <c r="Z33" t="s">
        <v>49</v>
      </c>
      <c r="AA33" t="s">
        <v>22</v>
      </c>
      <c r="AB33" t="s">
        <v>102</v>
      </c>
    </row>
    <row r="34" spans="13:28" x14ac:dyDescent="0.35">
      <c r="M34" t="s">
        <v>44</v>
      </c>
      <c r="N34">
        <v>21</v>
      </c>
      <c r="O34" t="s">
        <v>22</v>
      </c>
      <c r="P34" t="s">
        <v>45</v>
      </c>
      <c r="Q34">
        <v>7</v>
      </c>
      <c r="R34" t="s">
        <v>22</v>
      </c>
      <c r="S34" t="s">
        <v>46</v>
      </c>
      <c r="T34" t="s">
        <v>47</v>
      </c>
      <c r="U34" t="s">
        <v>22</v>
      </c>
      <c r="V34">
        <v>4</v>
      </c>
      <c r="W34" t="s">
        <v>48</v>
      </c>
      <c r="X34">
        <v>1</v>
      </c>
      <c r="Y34" t="s">
        <v>22</v>
      </c>
      <c r="Z34" t="s">
        <v>49</v>
      </c>
      <c r="AA34" t="s">
        <v>22</v>
      </c>
      <c r="AB34" t="s">
        <v>103</v>
      </c>
    </row>
    <row r="35" spans="13:28" x14ac:dyDescent="0.35">
      <c r="M35" t="s">
        <v>44</v>
      </c>
      <c r="N35">
        <v>40</v>
      </c>
      <c r="O35" t="s">
        <v>22</v>
      </c>
      <c r="P35" t="s">
        <v>45</v>
      </c>
      <c r="Q35">
        <v>10</v>
      </c>
      <c r="R35" t="s">
        <v>22</v>
      </c>
      <c r="S35" t="s">
        <v>46</v>
      </c>
      <c r="T35" t="s">
        <v>50</v>
      </c>
      <c r="U35" t="s">
        <v>22</v>
      </c>
      <c r="V35">
        <v>4</v>
      </c>
      <c r="W35" t="s">
        <v>48</v>
      </c>
      <c r="X35">
        <v>1</v>
      </c>
      <c r="Y35" t="s">
        <v>22</v>
      </c>
      <c r="Z35" t="s">
        <v>49</v>
      </c>
      <c r="AA35" t="s">
        <v>22</v>
      </c>
      <c r="AB35" t="s">
        <v>104</v>
      </c>
    </row>
    <row r="36" spans="13:28" x14ac:dyDescent="0.35">
      <c r="M36" t="s">
        <v>44</v>
      </c>
      <c r="N36">
        <v>61</v>
      </c>
      <c r="O36" t="s">
        <v>22</v>
      </c>
      <c r="P36" t="s">
        <v>45</v>
      </c>
      <c r="Q36">
        <v>4</v>
      </c>
      <c r="R36" t="s">
        <v>22</v>
      </c>
      <c r="S36" t="s">
        <v>46</v>
      </c>
      <c r="T36" t="s">
        <v>73</v>
      </c>
      <c r="U36" t="s">
        <v>22</v>
      </c>
      <c r="V36">
        <v>1</v>
      </c>
      <c r="W36" t="s">
        <v>48</v>
      </c>
      <c r="X36">
        <v>4</v>
      </c>
      <c r="Y36" t="s">
        <v>22</v>
      </c>
      <c r="Z36" t="s">
        <v>51</v>
      </c>
      <c r="AA36" t="s">
        <v>22</v>
      </c>
      <c r="AB36" t="s">
        <v>105</v>
      </c>
    </row>
    <row r="37" spans="13:28" x14ac:dyDescent="0.35">
      <c r="M37" t="s">
        <v>44</v>
      </c>
      <c r="N37">
        <v>42</v>
      </c>
      <c r="O37" t="s">
        <v>22</v>
      </c>
      <c r="P37" t="s">
        <v>45</v>
      </c>
      <c r="Q37">
        <v>17</v>
      </c>
      <c r="R37" t="s">
        <v>22</v>
      </c>
      <c r="S37" t="s">
        <v>46</v>
      </c>
      <c r="T37" t="s">
        <v>50</v>
      </c>
      <c r="U37" t="s">
        <v>22</v>
      </c>
      <c r="V37">
        <v>5</v>
      </c>
      <c r="W37" t="s">
        <v>48</v>
      </c>
      <c r="X37">
        <v>7</v>
      </c>
      <c r="Y37" t="s">
        <v>22</v>
      </c>
      <c r="Z37" t="s">
        <v>49</v>
      </c>
      <c r="AA37" t="s">
        <v>22</v>
      </c>
      <c r="AB37" t="s">
        <v>106</v>
      </c>
    </row>
    <row r="38" spans="13:28" x14ac:dyDescent="0.35">
      <c r="M38" t="s">
        <v>44</v>
      </c>
      <c r="N38">
        <v>36</v>
      </c>
      <c r="O38" t="s">
        <v>22</v>
      </c>
      <c r="P38" t="s">
        <v>45</v>
      </c>
      <c r="Q38">
        <v>7</v>
      </c>
      <c r="R38" t="s">
        <v>22</v>
      </c>
      <c r="S38" t="s">
        <v>46</v>
      </c>
      <c r="T38" t="s">
        <v>50</v>
      </c>
      <c r="U38" t="s">
        <v>22</v>
      </c>
      <c r="V38">
        <v>1</v>
      </c>
      <c r="W38" t="s">
        <v>48</v>
      </c>
      <c r="X38">
        <v>4</v>
      </c>
      <c r="Y38" t="s">
        <v>22</v>
      </c>
      <c r="Z38" t="s">
        <v>51</v>
      </c>
      <c r="AA38" t="s">
        <v>22</v>
      </c>
      <c r="AB38" t="s">
        <v>107</v>
      </c>
    </row>
    <row r="39" spans="13:28" x14ac:dyDescent="0.35">
      <c r="M39" t="s">
        <v>44</v>
      </c>
      <c r="N39">
        <v>47</v>
      </c>
      <c r="O39" t="s">
        <v>22</v>
      </c>
      <c r="P39" t="s">
        <v>45</v>
      </c>
      <c r="Q39">
        <v>15</v>
      </c>
      <c r="R39" t="s">
        <v>22</v>
      </c>
      <c r="S39" t="s">
        <v>46</v>
      </c>
      <c r="T39" t="s">
        <v>50</v>
      </c>
      <c r="U39" t="s">
        <v>22</v>
      </c>
      <c r="V39">
        <v>10</v>
      </c>
      <c r="W39" t="s">
        <v>48</v>
      </c>
      <c r="X39">
        <v>8</v>
      </c>
      <c r="Y39" t="s">
        <v>22</v>
      </c>
      <c r="Z39" t="s">
        <v>53</v>
      </c>
      <c r="AA39" t="s">
        <v>22</v>
      </c>
      <c r="AB39" t="s">
        <v>108</v>
      </c>
    </row>
    <row r="40" spans="13:28" x14ac:dyDescent="0.35">
      <c r="M40" t="s">
        <v>44</v>
      </c>
      <c r="N40">
        <v>32</v>
      </c>
      <c r="O40" t="s">
        <v>22</v>
      </c>
      <c r="P40" t="s">
        <v>45</v>
      </c>
      <c r="Q40">
        <v>2</v>
      </c>
      <c r="R40" t="s">
        <v>22</v>
      </c>
      <c r="S40" t="s">
        <v>46</v>
      </c>
      <c r="T40" t="s">
        <v>47</v>
      </c>
      <c r="U40" t="s">
        <v>22</v>
      </c>
      <c r="V40">
        <v>1</v>
      </c>
      <c r="W40" t="s">
        <v>48</v>
      </c>
      <c r="X40">
        <v>5</v>
      </c>
      <c r="Y40" t="s">
        <v>22</v>
      </c>
      <c r="Z40" t="s">
        <v>51</v>
      </c>
      <c r="AA40" t="s">
        <v>22</v>
      </c>
      <c r="AB40" t="s">
        <v>109</v>
      </c>
    </row>
    <row r="41" spans="13:28" x14ac:dyDescent="0.35">
      <c r="M41" t="s">
        <v>44</v>
      </c>
      <c r="N41">
        <v>56</v>
      </c>
      <c r="O41" t="s">
        <v>22</v>
      </c>
      <c r="P41" t="s">
        <v>45</v>
      </c>
      <c r="Q41">
        <v>13</v>
      </c>
      <c r="R41" t="s">
        <v>22</v>
      </c>
      <c r="S41" t="s">
        <v>46</v>
      </c>
      <c r="T41" t="s">
        <v>47</v>
      </c>
      <c r="U41" t="s">
        <v>22</v>
      </c>
      <c r="V41">
        <v>7</v>
      </c>
      <c r="W41" t="s">
        <v>48</v>
      </c>
      <c r="X41">
        <v>5</v>
      </c>
      <c r="Y41" t="s">
        <v>22</v>
      </c>
      <c r="Z41" t="s">
        <v>53</v>
      </c>
      <c r="AA41" t="s">
        <v>22</v>
      </c>
      <c r="AB41" t="s">
        <v>110</v>
      </c>
    </row>
    <row r="42" spans="13:28" x14ac:dyDescent="0.35">
      <c r="M42" t="s">
        <v>44</v>
      </c>
      <c r="N42">
        <v>5</v>
      </c>
      <c r="O42" t="s">
        <v>22</v>
      </c>
      <c r="P42" t="s">
        <v>45</v>
      </c>
      <c r="Q42">
        <v>1</v>
      </c>
      <c r="R42" t="s">
        <v>22</v>
      </c>
      <c r="S42" t="s">
        <v>46</v>
      </c>
      <c r="T42" t="s">
        <v>47</v>
      </c>
      <c r="U42" t="s">
        <v>22</v>
      </c>
      <c r="V42">
        <v>1</v>
      </c>
      <c r="W42" t="s">
        <v>48</v>
      </c>
      <c r="X42">
        <v>10</v>
      </c>
      <c r="Y42" t="s">
        <v>22</v>
      </c>
      <c r="Z42" t="s">
        <v>49</v>
      </c>
      <c r="AA42" t="s">
        <v>22</v>
      </c>
      <c r="AB42" t="s">
        <v>111</v>
      </c>
    </row>
    <row r="43" spans="13:28" x14ac:dyDescent="0.35">
      <c r="M43" t="s">
        <v>44</v>
      </c>
      <c r="N43">
        <v>29</v>
      </c>
      <c r="O43" t="s">
        <v>22</v>
      </c>
      <c r="P43" t="s">
        <v>45</v>
      </c>
      <c r="Q43">
        <v>12</v>
      </c>
      <c r="R43" t="s">
        <v>22</v>
      </c>
      <c r="S43" t="s">
        <v>46</v>
      </c>
      <c r="T43" t="s">
        <v>47</v>
      </c>
      <c r="U43" t="s">
        <v>22</v>
      </c>
      <c r="V43">
        <v>6</v>
      </c>
      <c r="W43" t="s">
        <v>48</v>
      </c>
      <c r="X43">
        <v>5</v>
      </c>
      <c r="Y43" t="s">
        <v>22</v>
      </c>
      <c r="Z43" t="s">
        <v>51</v>
      </c>
      <c r="AA43" t="s">
        <v>22</v>
      </c>
      <c r="AB43" t="s">
        <v>112</v>
      </c>
    </row>
    <row r="44" spans="13:28" x14ac:dyDescent="0.35">
      <c r="M44" t="s">
        <v>44</v>
      </c>
      <c r="N44">
        <v>7</v>
      </c>
      <c r="O44" t="s">
        <v>22</v>
      </c>
      <c r="P44" t="s">
        <v>45</v>
      </c>
      <c r="Q44">
        <v>6</v>
      </c>
      <c r="R44" t="s">
        <v>22</v>
      </c>
      <c r="S44" t="s">
        <v>46</v>
      </c>
      <c r="T44" t="s">
        <v>47</v>
      </c>
      <c r="U44" t="s">
        <v>22</v>
      </c>
      <c r="V44">
        <v>3</v>
      </c>
      <c r="W44" t="s">
        <v>48</v>
      </c>
      <c r="X44">
        <v>10</v>
      </c>
      <c r="Y44" t="s">
        <v>22</v>
      </c>
      <c r="Z44" t="s">
        <v>53</v>
      </c>
      <c r="AA44" t="s">
        <v>22</v>
      </c>
      <c r="AB44" t="s">
        <v>113</v>
      </c>
    </row>
    <row r="45" spans="13:28" x14ac:dyDescent="0.35">
      <c r="M45" t="s">
        <v>44</v>
      </c>
      <c r="N45">
        <v>49</v>
      </c>
      <c r="O45" t="s">
        <v>22</v>
      </c>
      <c r="P45" t="s">
        <v>45</v>
      </c>
      <c r="Q45">
        <v>10</v>
      </c>
      <c r="R45" t="s">
        <v>22</v>
      </c>
      <c r="S45" t="s">
        <v>46</v>
      </c>
      <c r="T45" t="s">
        <v>73</v>
      </c>
      <c r="U45" t="s">
        <v>22</v>
      </c>
      <c r="V45">
        <v>1</v>
      </c>
      <c r="W45" t="s">
        <v>48</v>
      </c>
      <c r="X45">
        <v>3</v>
      </c>
      <c r="Y45" t="s">
        <v>22</v>
      </c>
      <c r="Z45" t="s">
        <v>53</v>
      </c>
      <c r="AA45" t="s">
        <v>22</v>
      </c>
      <c r="AB45" t="s">
        <v>114</v>
      </c>
    </row>
    <row r="46" spans="13:28" x14ac:dyDescent="0.35">
      <c r="M46" t="s">
        <v>9</v>
      </c>
    </row>
    <row r="47" spans="13:28" x14ac:dyDescent="0.35">
      <c r="M47" t="s">
        <v>10</v>
      </c>
    </row>
    <row r="49" spans="13:19" x14ac:dyDescent="0.35">
      <c r="M49" t="s">
        <v>54</v>
      </c>
      <c r="N49">
        <v>1</v>
      </c>
    </row>
    <row r="50" spans="13:19" x14ac:dyDescent="0.35">
      <c r="M50" t="s">
        <v>11</v>
      </c>
    </row>
    <row r="51" spans="13:19" x14ac:dyDescent="0.35">
      <c r="M51" t="s">
        <v>55</v>
      </c>
      <c r="N51" t="s">
        <v>56</v>
      </c>
      <c r="O51" t="s">
        <v>57</v>
      </c>
      <c r="P51" t="s">
        <v>58</v>
      </c>
      <c r="Q51" t="s">
        <v>59</v>
      </c>
      <c r="R51" t="s">
        <v>60</v>
      </c>
      <c r="S51" t="s">
        <v>61</v>
      </c>
    </row>
    <row r="52" spans="13:19" x14ac:dyDescent="0.35">
      <c r="M52" t="s">
        <v>11</v>
      </c>
    </row>
    <row r="53" spans="13:19" x14ac:dyDescent="0.35">
      <c r="M53">
        <v>1</v>
      </c>
      <c r="N53">
        <v>1</v>
      </c>
      <c r="O53">
        <v>10</v>
      </c>
      <c r="P53">
        <v>62</v>
      </c>
      <c r="Q53">
        <v>72</v>
      </c>
      <c r="R53">
        <v>10</v>
      </c>
      <c r="S53">
        <v>0</v>
      </c>
    </row>
    <row r="54" spans="13:19" x14ac:dyDescent="0.35">
      <c r="M54">
        <v>2</v>
      </c>
      <c r="N54">
        <v>10</v>
      </c>
      <c r="O54">
        <v>1</v>
      </c>
      <c r="P54">
        <v>239</v>
      </c>
      <c r="Q54">
        <v>249</v>
      </c>
      <c r="R54">
        <v>10</v>
      </c>
      <c r="S54">
        <v>4</v>
      </c>
    </row>
    <row r="55" spans="13:19" x14ac:dyDescent="0.35">
      <c r="M55">
        <v>3</v>
      </c>
      <c r="N55">
        <v>1</v>
      </c>
      <c r="O55">
        <v>10</v>
      </c>
      <c r="P55">
        <v>352</v>
      </c>
      <c r="Q55">
        <v>362</v>
      </c>
      <c r="R55">
        <v>10</v>
      </c>
      <c r="S55">
        <v>4</v>
      </c>
    </row>
    <row r="57" spans="13:19" x14ac:dyDescent="0.35">
      <c r="M57" t="s">
        <v>54</v>
      </c>
      <c r="N57">
        <v>2</v>
      </c>
    </row>
    <row r="58" spans="13:19" x14ac:dyDescent="0.35">
      <c r="M58" t="s">
        <v>11</v>
      </c>
    </row>
    <row r="59" spans="13:19" x14ac:dyDescent="0.35">
      <c r="M59" t="s">
        <v>55</v>
      </c>
      <c r="N59" t="s">
        <v>56</v>
      </c>
      <c r="O59" t="s">
        <v>57</v>
      </c>
      <c r="P59" t="s">
        <v>58</v>
      </c>
      <c r="Q59" t="s">
        <v>59</v>
      </c>
      <c r="R59" t="s">
        <v>60</v>
      </c>
      <c r="S59" t="s">
        <v>61</v>
      </c>
    </row>
    <row r="60" spans="13:19" x14ac:dyDescent="0.35">
      <c r="M60" t="s">
        <v>11</v>
      </c>
    </row>
    <row r="61" spans="13:19" x14ac:dyDescent="0.35">
      <c r="M61">
        <v>1</v>
      </c>
      <c r="N61">
        <v>1</v>
      </c>
      <c r="O61">
        <v>5</v>
      </c>
      <c r="P61">
        <v>181</v>
      </c>
      <c r="Q61">
        <v>211</v>
      </c>
      <c r="R61">
        <v>30</v>
      </c>
      <c r="S61">
        <v>0</v>
      </c>
    </row>
    <row r="62" spans="13:19" x14ac:dyDescent="0.35">
      <c r="M62">
        <v>2</v>
      </c>
      <c r="N62">
        <v>5</v>
      </c>
      <c r="O62">
        <v>3</v>
      </c>
      <c r="P62">
        <v>607</v>
      </c>
      <c r="Q62">
        <v>620</v>
      </c>
      <c r="R62">
        <v>13</v>
      </c>
      <c r="S62">
        <v>4</v>
      </c>
    </row>
    <row r="64" spans="13:19" x14ac:dyDescent="0.35">
      <c r="M64" t="s">
        <v>54</v>
      </c>
      <c r="N64">
        <v>4</v>
      </c>
    </row>
    <row r="65" spans="13:19" x14ac:dyDescent="0.35">
      <c r="M65" t="s">
        <v>11</v>
      </c>
    </row>
    <row r="66" spans="13:19" x14ac:dyDescent="0.35">
      <c r="M66" t="s">
        <v>55</v>
      </c>
      <c r="N66" t="s">
        <v>56</v>
      </c>
      <c r="O66" t="s">
        <v>57</v>
      </c>
      <c r="P66" t="s">
        <v>58</v>
      </c>
      <c r="Q66" t="s">
        <v>59</v>
      </c>
      <c r="R66" t="s">
        <v>60</v>
      </c>
      <c r="S66" t="s">
        <v>61</v>
      </c>
    </row>
    <row r="67" spans="13:19" x14ac:dyDescent="0.35">
      <c r="M67" t="s">
        <v>11</v>
      </c>
    </row>
    <row r="68" spans="13:19" x14ac:dyDescent="0.35">
      <c r="M68">
        <v>1</v>
      </c>
      <c r="N68">
        <v>2</v>
      </c>
      <c r="O68">
        <v>3</v>
      </c>
      <c r="P68">
        <v>30</v>
      </c>
      <c r="Q68">
        <v>57</v>
      </c>
      <c r="R68">
        <v>27</v>
      </c>
      <c r="S68">
        <v>4</v>
      </c>
    </row>
    <row r="69" spans="13:19" x14ac:dyDescent="0.35">
      <c r="M69">
        <v>2</v>
      </c>
      <c r="N69">
        <v>3</v>
      </c>
      <c r="O69">
        <v>1</v>
      </c>
      <c r="P69">
        <v>665</v>
      </c>
      <c r="Q69">
        <v>683</v>
      </c>
      <c r="R69">
        <v>18</v>
      </c>
      <c r="S69">
        <v>4</v>
      </c>
    </row>
    <row r="70" spans="13:19" x14ac:dyDescent="0.35">
      <c r="M70">
        <v>3</v>
      </c>
      <c r="N70">
        <v>1</v>
      </c>
      <c r="O70">
        <v>4</v>
      </c>
      <c r="P70">
        <v>713</v>
      </c>
      <c r="Q70">
        <v>743</v>
      </c>
      <c r="R70">
        <v>30</v>
      </c>
      <c r="S70">
        <v>0</v>
      </c>
    </row>
    <row r="72" spans="13:19" x14ac:dyDescent="0.35">
      <c r="M72" t="s">
        <v>54</v>
      </c>
      <c r="N72">
        <v>6</v>
      </c>
    </row>
    <row r="73" spans="13:19" x14ac:dyDescent="0.35">
      <c r="M73" t="s">
        <v>11</v>
      </c>
    </row>
    <row r="74" spans="13:19" x14ac:dyDescent="0.35">
      <c r="M74" t="s">
        <v>55</v>
      </c>
      <c r="N74" t="s">
        <v>56</v>
      </c>
      <c r="O74" t="s">
        <v>57</v>
      </c>
      <c r="P74" t="s">
        <v>58</v>
      </c>
      <c r="Q74" t="s">
        <v>59</v>
      </c>
      <c r="R74" t="s">
        <v>60</v>
      </c>
      <c r="S74" t="s">
        <v>61</v>
      </c>
    </row>
    <row r="75" spans="13:19" x14ac:dyDescent="0.35">
      <c r="M75" t="s">
        <v>11</v>
      </c>
    </row>
    <row r="76" spans="13:19" x14ac:dyDescent="0.35">
      <c r="M76">
        <v>1</v>
      </c>
      <c r="N76">
        <v>3</v>
      </c>
      <c r="O76">
        <v>10</v>
      </c>
      <c r="P76">
        <v>85</v>
      </c>
      <c r="Q76">
        <v>104</v>
      </c>
      <c r="R76">
        <v>19</v>
      </c>
      <c r="S76">
        <v>0</v>
      </c>
    </row>
    <row r="78" spans="13:19" x14ac:dyDescent="0.35">
      <c r="M78" t="s">
        <v>54</v>
      </c>
      <c r="N78">
        <v>7</v>
      </c>
    </row>
    <row r="79" spans="13:19" x14ac:dyDescent="0.35">
      <c r="M79" t="s">
        <v>11</v>
      </c>
    </row>
    <row r="80" spans="13:19" x14ac:dyDescent="0.35">
      <c r="M80" t="s">
        <v>55</v>
      </c>
      <c r="N80" t="s">
        <v>56</v>
      </c>
      <c r="O80" t="s">
        <v>57</v>
      </c>
      <c r="P80" t="s">
        <v>58</v>
      </c>
      <c r="Q80" t="s">
        <v>59</v>
      </c>
      <c r="R80" t="s">
        <v>60</v>
      </c>
      <c r="S80" t="s">
        <v>61</v>
      </c>
    </row>
    <row r="81" spans="13:19" x14ac:dyDescent="0.35">
      <c r="M81" t="s">
        <v>11</v>
      </c>
    </row>
    <row r="82" spans="13:19" x14ac:dyDescent="0.35">
      <c r="M82">
        <v>1</v>
      </c>
      <c r="N82">
        <v>4</v>
      </c>
      <c r="O82">
        <v>1</v>
      </c>
      <c r="P82">
        <v>128</v>
      </c>
      <c r="Q82">
        <v>158</v>
      </c>
      <c r="R82">
        <v>30</v>
      </c>
      <c r="S82">
        <v>0</v>
      </c>
    </row>
    <row r="83" spans="13:19" x14ac:dyDescent="0.35">
      <c r="M83">
        <v>2</v>
      </c>
      <c r="N83">
        <v>1</v>
      </c>
      <c r="O83">
        <v>4</v>
      </c>
      <c r="P83">
        <v>194</v>
      </c>
      <c r="Q83">
        <v>224</v>
      </c>
      <c r="R83">
        <v>30</v>
      </c>
      <c r="S83">
        <v>1</v>
      </c>
    </row>
    <row r="85" spans="13:19" x14ac:dyDescent="0.35">
      <c r="M85" t="s">
        <v>54</v>
      </c>
      <c r="N85">
        <v>10</v>
      </c>
    </row>
    <row r="86" spans="13:19" x14ac:dyDescent="0.35">
      <c r="M86" t="s">
        <v>11</v>
      </c>
    </row>
    <row r="87" spans="13:19" x14ac:dyDescent="0.35">
      <c r="M87" t="s">
        <v>55</v>
      </c>
      <c r="N87" t="s">
        <v>56</v>
      </c>
      <c r="O87" t="s">
        <v>57</v>
      </c>
      <c r="P87" t="s">
        <v>58</v>
      </c>
      <c r="Q87" t="s">
        <v>59</v>
      </c>
      <c r="R87" t="s">
        <v>60</v>
      </c>
      <c r="S87" t="s">
        <v>61</v>
      </c>
    </row>
    <row r="88" spans="13:19" x14ac:dyDescent="0.35">
      <c r="M88" t="s">
        <v>11</v>
      </c>
    </row>
    <row r="89" spans="13:19" x14ac:dyDescent="0.35">
      <c r="M89">
        <v>1</v>
      </c>
      <c r="N89">
        <v>5</v>
      </c>
      <c r="O89">
        <v>4</v>
      </c>
      <c r="P89">
        <v>147</v>
      </c>
      <c r="Q89">
        <v>166</v>
      </c>
      <c r="R89">
        <v>19</v>
      </c>
      <c r="S89">
        <v>4</v>
      </c>
    </row>
    <row r="90" spans="13:19" x14ac:dyDescent="0.35">
      <c r="M90">
        <v>2</v>
      </c>
      <c r="N90">
        <v>4</v>
      </c>
      <c r="O90">
        <v>1</v>
      </c>
      <c r="P90">
        <v>420</v>
      </c>
      <c r="Q90">
        <v>450</v>
      </c>
      <c r="R90">
        <v>30</v>
      </c>
      <c r="S90">
        <v>0</v>
      </c>
    </row>
    <row r="91" spans="13:19" x14ac:dyDescent="0.35">
      <c r="M91">
        <v>3</v>
      </c>
      <c r="N91">
        <v>1</v>
      </c>
      <c r="O91">
        <v>3</v>
      </c>
      <c r="P91">
        <v>585</v>
      </c>
      <c r="Q91">
        <v>603</v>
      </c>
      <c r="R91">
        <v>18</v>
      </c>
      <c r="S91">
        <v>0</v>
      </c>
    </row>
    <row r="93" spans="13:19" x14ac:dyDescent="0.35">
      <c r="M93" t="s">
        <v>54</v>
      </c>
      <c r="N93">
        <v>12</v>
      </c>
    </row>
    <row r="94" spans="13:19" x14ac:dyDescent="0.35">
      <c r="M94" t="s">
        <v>11</v>
      </c>
    </row>
    <row r="95" spans="13:19" x14ac:dyDescent="0.35">
      <c r="M95" t="s">
        <v>55</v>
      </c>
      <c r="N95" t="s">
        <v>56</v>
      </c>
      <c r="O95" t="s">
        <v>57</v>
      </c>
      <c r="P95" t="s">
        <v>58</v>
      </c>
      <c r="Q95" t="s">
        <v>59</v>
      </c>
      <c r="R95" t="s">
        <v>60</v>
      </c>
      <c r="S95" t="s">
        <v>61</v>
      </c>
    </row>
    <row r="96" spans="13:19" x14ac:dyDescent="0.35">
      <c r="M96" t="s">
        <v>11</v>
      </c>
    </row>
    <row r="97" spans="13:19" x14ac:dyDescent="0.35">
      <c r="M97">
        <v>1</v>
      </c>
      <c r="N97">
        <v>6</v>
      </c>
      <c r="O97">
        <v>5</v>
      </c>
      <c r="P97">
        <v>187</v>
      </c>
      <c r="Q97">
        <v>201</v>
      </c>
      <c r="R97">
        <v>14</v>
      </c>
      <c r="S97">
        <v>1</v>
      </c>
    </row>
    <row r="99" spans="13:19" x14ac:dyDescent="0.35">
      <c r="M99" t="s">
        <v>54</v>
      </c>
      <c r="N99">
        <v>13</v>
      </c>
    </row>
    <row r="100" spans="13:19" x14ac:dyDescent="0.35">
      <c r="M100" t="s">
        <v>11</v>
      </c>
    </row>
    <row r="101" spans="13:19" x14ac:dyDescent="0.35">
      <c r="M101" t="s">
        <v>55</v>
      </c>
      <c r="N101" t="s">
        <v>56</v>
      </c>
      <c r="O101" t="s">
        <v>57</v>
      </c>
      <c r="P101" t="s">
        <v>58</v>
      </c>
      <c r="Q101" t="s">
        <v>59</v>
      </c>
      <c r="R101" t="s">
        <v>60</v>
      </c>
      <c r="S101" t="s">
        <v>61</v>
      </c>
    </row>
    <row r="102" spans="13:19" x14ac:dyDescent="0.35">
      <c r="M102" t="s">
        <v>11</v>
      </c>
    </row>
    <row r="103" spans="13:19" x14ac:dyDescent="0.35">
      <c r="M103">
        <v>1</v>
      </c>
      <c r="N103">
        <v>7</v>
      </c>
      <c r="O103">
        <v>5</v>
      </c>
      <c r="P103">
        <v>639</v>
      </c>
      <c r="Q103">
        <v>674</v>
      </c>
      <c r="R103">
        <v>35</v>
      </c>
      <c r="S103">
        <v>0</v>
      </c>
    </row>
    <row r="104" spans="13:19" x14ac:dyDescent="0.35">
      <c r="M104">
        <v>2</v>
      </c>
      <c r="N104">
        <v>5</v>
      </c>
      <c r="O104">
        <v>4</v>
      </c>
      <c r="P104">
        <v>704</v>
      </c>
      <c r="Q104">
        <v>723</v>
      </c>
      <c r="R104">
        <v>19</v>
      </c>
      <c r="S104">
        <v>4</v>
      </c>
    </row>
    <row r="106" spans="13:19" x14ac:dyDescent="0.35">
      <c r="M106" t="s">
        <v>54</v>
      </c>
      <c r="N106">
        <v>15</v>
      </c>
    </row>
    <row r="107" spans="13:19" x14ac:dyDescent="0.35">
      <c r="M107" t="s">
        <v>11</v>
      </c>
    </row>
    <row r="108" spans="13:19" x14ac:dyDescent="0.35">
      <c r="M108" t="s">
        <v>55</v>
      </c>
      <c r="N108" t="s">
        <v>56</v>
      </c>
      <c r="O108" t="s">
        <v>57</v>
      </c>
      <c r="P108" t="s">
        <v>58</v>
      </c>
      <c r="Q108" t="s">
        <v>59</v>
      </c>
      <c r="R108" t="s">
        <v>60</v>
      </c>
      <c r="S108" t="s">
        <v>61</v>
      </c>
    </row>
    <row r="109" spans="13:19" x14ac:dyDescent="0.35">
      <c r="M109" t="s">
        <v>11</v>
      </c>
    </row>
    <row r="110" spans="13:19" x14ac:dyDescent="0.35">
      <c r="M110">
        <v>1</v>
      </c>
      <c r="N110">
        <v>8</v>
      </c>
      <c r="O110">
        <v>10</v>
      </c>
      <c r="P110">
        <v>186</v>
      </c>
      <c r="Q110">
        <v>221</v>
      </c>
      <c r="R110">
        <v>35</v>
      </c>
      <c r="S110">
        <v>0</v>
      </c>
    </row>
    <row r="111" spans="13:19" x14ac:dyDescent="0.35">
      <c r="M111">
        <v>2</v>
      </c>
      <c r="N111">
        <v>10</v>
      </c>
      <c r="O111">
        <v>8</v>
      </c>
      <c r="P111">
        <v>540</v>
      </c>
      <c r="Q111">
        <v>575</v>
      </c>
      <c r="R111">
        <v>35</v>
      </c>
      <c r="S111">
        <v>0</v>
      </c>
    </row>
    <row r="113" spans="13:19" x14ac:dyDescent="0.35">
      <c r="M113" t="s">
        <v>54</v>
      </c>
      <c r="N113">
        <v>17</v>
      </c>
    </row>
    <row r="114" spans="13:19" x14ac:dyDescent="0.35">
      <c r="M114" t="s">
        <v>11</v>
      </c>
    </row>
    <row r="115" spans="13:19" x14ac:dyDescent="0.35">
      <c r="M115" t="s">
        <v>55</v>
      </c>
      <c r="N115" t="s">
        <v>56</v>
      </c>
      <c r="O115" t="s">
        <v>57</v>
      </c>
      <c r="P115" t="s">
        <v>58</v>
      </c>
      <c r="Q115" t="s">
        <v>59</v>
      </c>
      <c r="R115" t="s">
        <v>60</v>
      </c>
      <c r="S115" t="s">
        <v>61</v>
      </c>
    </row>
    <row r="116" spans="13:19" x14ac:dyDescent="0.35">
      <c r="M116" t="s">
        <v>11</v>
      </c>
    </row>
    <row r="117" spans="13:19" x14ac:dyDescent="0.35">
      <c r="M117">
        <v>1</v>
      </c>
      <c r="N117">
        <v>9</v>
      </c>
      <c r="O117">
        <v>5</v>
      </c>
      <c r="P117">
        <v>252</v>
      </c>
      <c r="Q117">
        <v>276</v>
      </c>
      <c r="R117">
        <v>24</v>
      </c>
      <c r="S117">
        <v>4</v>
      </c>
    </row>
    <row r="118" spans="13:19" x14ac:dyDescent="0.35">
      <c r="M118">
        <v>2</v>
      </c>
      <c r="N118">
        <v>5</v>
      </c>
      <c r="O118">
        <v>7</v>
      </c>
      <c r="P118">
        <v>476</v>
      </c>
      <c r="Q118">
        <v>511</v>
      </c>
      <c r="R118">
        <v>35</v>
      </c>
      <c r="S118">
        <v>0</v>
      </c>
    </row>
    <row r="120" spans="13:19" x14ac:dyDescent="0.35">
      <c r="M120" t="s">
        <v>62</v>
      </c>
      <c r="N120" t="s">
        <v>63</v>
      </c>
      <c r="O120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AA39-8955-473C-A75E-D372DA78E489}">
  <dimension ref="A1:AB52"/>
  <sheetViews>
    <sheetView topLeftCell="K1" workbookViewId="0">
      <selection activeCell="M6" sqref="M6:AB5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1" x14ac:dyDescent="0.35">
      <c r="A2">
        <v>1</v>
      </c>
      <c r="B2">
        <v>-10266.356806649899</v>
      </c>
      <c r="C2">
        <v>6733.6431933499998</v>
      </c>
      <c r="D2">
        <v>0.18974358974358899</v>
      </c>
      <c r="E2">
        <v>0</v>
      </c>
      <c r="F2">
        <v>3</v>
      </c>
      <c r="G2">
        <v>1.6666666666666601</v>
      </c>
    </row>
    <row r="3" spans="1:21" x14ac:dyDescent="0.35">
      <c r="A3">
        <v>2</v>
      </c>
      <c r="B3">
        <v>-7453.7291908646203</v>
      </c>
      <c r="C3">
        <v>9346.2708091353707</v>
      </c>
      <c r="D3">
        <v>0.238461538461538</v>
      </c>
      <c r="E3">
        <v>0</v>
      </c>
      <c r="F3">
        <v>3</v>
      </c>
      <c r="G3">
        <v>9</v>
      </c>
    </row>
    <row r="4" spans="1:21" x14ac:dyDescent="0.35">
      <c r="A4">
        <v>3</v>
      </c>
      <c r="B4">
        <v>-14009.123090109</v>
      </c>
      <c r="C4">
        <v>3290.8769098909702</v>
      </c>
      <c r="D4">
        <v>0.134615384615384</v>
      </c>
      <c r="E4">
        <v>0</v>
      </c>
      <c r="F4">
        <v>2</v>
      </c>
      <c r="G4">
        <v>0</v>
      </c>
    </row>
    <row r="5" spans="1:21" x14ac:dyDescent="0.35">
      <c r="A5">
        <v>4</v>
      </c>
      <c r="B5">
        <v>-14183.6069485895</v>
      </c>
      <c r="C5">
        <v>2416.39305141047</v>
      </c>
      <c r="D5">
        <v>0.181730769230769</v>
      </c>
      <c r="E5">
        <v>0</v>
      </c>
      <c r="F5">
        <v>3</v>
      </c>
      <c r="G5">
        <v>4.3333333333333304</v>
      </c>
    </row>
    <row r="6" spans="1:21" x14ac:dyDescent="0.35">
      <c r="A6">
        <v>5</v>
      </c>
      <c r="B6">
        <v>-10056.6561361188</v>
      </c>
      <c r="C6">
        <v>6443.3438638811804</v>
      </c>
      <c r="D6">
        <v>0.147329059829059</v>
      </c>
      <c r="E6">
        <v>134</v>
      </c>
      <c r="F6">
        <v>10</v>
      </c>
      <c r="G6">
        <v>2.1</v>
      </c>
      <c r="M6" t="s">
        <v>12</v>
      </c>
      <c r="N6" t="s">
        <v>13</v>
      </c>
      <c r="O6" t="s">
        <v>14</v>
      </c>
      <c r="P6" t="s">
        <v>15</v>
      </c>
    </row>
    <row r="7" spans="1:21" x14ac:dyDescent="0.35">
      <c r="A7">
        <v>6</v>
      </c>
      <c r="B7">
        <v>-6546.6230901090203</v>
      </c>
      <c r="C7">
        <v>10453.3769098909</v>
      </c>
      <c r="D7">
        <v>0.15384615384615299</v>
      </c>
      <c r="E7">
        <v>0</v>
      </c>
      <c r="F7">
        <v>2</v>
      </c>
      <c r="G7">
        <v>0</v>
      </c>
      <c r="M7" t="s">
        <v>16</v>
      </c>
      <c r="N7" t="s">
        <v>17</v>
      </c>
      <c r="O7">
        <v>-2803.8568066499902</v>
      </c>
    </row>
    <row r="8" spans="1:21" x14ac:dyDescent="0.35">
      <c r="A8">
        <v>7</v>
      </c>
      <c r="B8">
        <v>-10734.181419311801</v>
      </c>
      <c r="C8">
        <v>5065.8185806881602</v>
      </c>
      <c r="D8">
        <v>0.193910256410256</v>
      </c>
      <c r="E8">
        <v>40</v>
      </c>
      <c r="F8">
        <v>4</v>
      </c>
      <c r="G8">
        <v>2</v>
      </c>
      <c r="M8" t="s">
        <v>18</v>
      </c>
      <c r="N8" t="s">
        <v>17</v>
      </c>
      <c r="O8">
        <v>13896.143193350001</v>
      </c>
    </row>
    <row r="9" spans="1:21" x14ac:dyDescent="0.35">
      <c r="A9">
        <v>8</v>
      </c>
      <c r="B9">
        <v>-3840.5160474470499</v>
      </c>
      <c r="C9">
        <v>12859.483952552901</v>
      </c>
      <c r="D9">
        <v>0.21666666666666601</v>
      </c>
      <c r="E9">
        <v>0</v>
      </c>
      <c r="F9">
        <v>3</v>
      </c>
      <c r="G9">
        <v>4</v>
      </c>
      <c r="M9" t="s">
        <v>19</v>
      </c>
      <c r="N9" t="s">
        <v>20</v>
      </c>
    </row>
    <row r="10" spans="1:21" x14ac:dyDescent="0.35">
      <c r="A10">
        <v>9</v>
      </c>
      <c r="B10">
        <v>-11462.8480391173</v>
      </c>
      <c r="C10">
        <v>5937.1519608826802</v>
      </c>
      <c r="D10">
        <v>0</v>
      </c>
      <c r="E10">
        <v>0</v>
      </c>
      <c r="F10">
        <v>3</v>
      </c>
      <c r="G10">
        <v>0</v>
      </c>
      <c r="M10" t="s">
        <v>7</v>
      </c>
    </row>
    <row r="11" spans="1:21" x14ac:dyDescent="0.35">
      <c r="A11">
        <v>10</v>
      </c>
      <c r="B11">
        <v>-7168.8568066499902</v>
      </c>
      <c r="C11">
        <v>11031.143193350001</v>
      </c>
      <c r="D11">
        <v>0.20897435897435801</v>
      </c>
      <c r="E11">
        <v>0</v>
      </c>
      <c r="F11">
        <v>3</v>
      </c>
      <c r="G11">
        <v>6.6666666666666599</v>
      </c>
      <c r="M11" t="s">
        <v>21</v>
      </c>
      <c r="N11">
        <v>2</v>
      </c>
      <c r="O11" t="s">
        <v>22</v>
      </c>
      <c r="P11">
        <v>1</v>
      </c>
      <c r="Q11">
        <v>4</v>
      </c>
      <c r="R11">
        <v>1</v>
      </c>
      <c r="S11" t="s">
        <v>22</v>
      </c>
      <c r="T11">
        <v>415</v>
      </c>
      <c r="U11">
        <v>88</v>
      </c>
    </row>
    <row r="12" spans="1:21" x14ac:dyDescent="0.35">
      <c r="A12">
        <v>11</v>
      </c>
      <c r="B12">
        <v>-10472.390628504099</v>
      </c>
      <c r="C12">
        <v>5927.6093714958597</v>
      </c>
      <c r="D12">
        <v>0.246153846153846</v>
      </c>
      <c r="E12">
        <v>10</v>
      </c>
      <c r="F12">
        <v>3</v>
      </c>
      <c r="G12">
        <v>1.3333333333333299</v>
      </c>
      <c r="M12" t="s">
        <v>23</v>
      </c>
      <c r="N12">
        <v>0</v>
      </c>
      <c r="O12" t="s">
        <v>22</v>
      </c>
      <c r="P12">
        <v>1</v>
      </c>
      <c r="Q12" t="s">
        <v>22</v>
      </c>
    </row>
    <row r="13" spans="1:21" x14ac:dyDescent="0.35">
      <c r="A13">
        <v>12</v>
      </c>
      <c r="B13">
        <v>-2803.8568066499902</v>
      </c>
      <c r="C13">
        <v>13896.143193350001</v>
      </c>
      <c r="D13">
        <v>0.20897435897435801</v>
      </c>
      <c r="E13">
        <v>0</v>
      </c>
      <c r="F13">
        <v>3</v>
      </c>
      <c r="G13">
        <v>0.66666666666666596</v>
      </c>
      <c r="M13" t="s">
        <v>24</v>
      </c>
      <c r="N13">
        <v>0</v>
      </c>
      <c r="O13" t="s">
        <v>22</v>
      </c>
      <c r="P13">
        <v>2</v>
      </c>
      <c r="Q13" t="s">
        <v>22</v>
      </c>
    </row>
    <row r="14" spans="1:21" x14ac:dyDescent="0.35">
      <c r="A14">
        <v>13</v>
      </c>
      <c r="B14">
        <v>-10011.623090109</v>
      </c>
      <c r="C14">
        <v>7588.3769098909697</v>
      </c>
      <c r="D14">
        <v>0.15384615384615299</v>
      </c>
      <c r="E14">
        <v>0</v>
      </c>
      <c r="F14">
        <v>2</v>
      </c>
      <c r="G14">
        <v>0</v>
      </c>
      <c r="M14" t="s">
        <v>25</v>
      </c>
      <c r="N14">
        <v>0</v>
      </c>
      <c r="O14" t="s">
        <v>22</v>
      </c>
      <c r="P14">
        <v>2</v>
      </c>
      <c r="Q14" t="s">
        <v>22</v>
      </c>
    </row>
    <row r="15" spans="1:21" x14ac:dyDescent="0.35">
      <c r="A15">
        <v>14</v>
      </c>
      <c r="B15">
        <v>-8617.8140338005505</v>
      </c>
      <c r="C15">
        <v>8382.1859661994404</v>
      </c>
      <c r="D15">
        <v>0.147435897435897</v>
      </c>
      <c r="E15">
        <v>25</v>
      </c>
      <c r="F15">
        <v>4</v>
      </c>
      <c r="G15">
        <v>6.5</v>
      </c>
      <c r="M15" t="s">
        <v>26</v>
      </c>
      <c r="N15">
        <v>0</v>
      </c>
      <c r="O15" t="s">
        <v>22</v>
      </c>
      <c r="P15">
        <v>3</v>
      </c>
      <c r="Q15" t="s">
        <v>22</v>
      </c>
    </row>
    <row r="16" spans="1:21" x14ac:dyDescent="0.35">
      <c r="A16">
        <v>15</v>
      </c>
      <c r="B16">
        <v>-12518.5083236965</v>
      </c>
      <c r="C16">
        <v>5381.4916763034498</v>
      </c>
      <c r="D16">
        <v>0.19230769230769201</v>
      </c>
      <c r="E16">
        <v>10</v>
      </c>
      <c r="F16">
        <v>2</v>
      </c>
      <c r="G16">
        <v>0</v>
      </c>
      <c r="M16" t="s">
        <v>27</v>
      </c>
      <c r="N16">
        <v>0</v>
      </c>
      <c r="O16" t="s">
        <v>22</v>
      </c>
      <c r="P16">
        <v>3</v>
      </c>
      <c r="Q16" t="s">
        <v>22</v>
      </c>
    </row>
    <row r="17" spans="1:19" x14ac:dyDescent="0.35">
      <c r="A17">
        <v>16</v>
      </c>
      <c r="B17">
        <v>-14411.108878352101</v>
      </c>
      <c r="C17">
        <v>2988.89112164789</v>
      </c>
      <c r="D17">
        <v>0.11025641025641</v>
      </c>
      <c r="E17">
        <v>14</v>
      </c>
      <c r="F17">
        <v>1</v>
      </c>
      <c r="G17">
        <v>0</v>
      </c>
      <c r="M17" t="s">
        <v>28</v>
      </c>
      <c r="N17">
        <v>0</v>
      </c>
      <c r="O17" t="s">
        <v>22</v>
      </c>
      <c r="P17">
        <v>4</v>
      </c>
      <c r="Q17" t="s">
        <v>22</v>
      </c>
    </row>
    <row r="18" spans="1:19" x14ac:dyDescent="0.35">
      <c r="A18">
        <v>17</v>
      </c>
      <c r="B18">
        <v>-12276.623090109</v>
      </c>
      <c r="C18">
        <v>4723.3769098909697</v>
      </c>
      <c r="D18">
        <v>0.15384615384615299</v>
      </c>
      <c r="E18">
        <v>0</v>
      </c>
      <c r="F18">
        <v>2</v>
      </c>
      <c r="G18">
        <v>10</v>
      </c>
      <c r="M18" t="s">
        <v>29</v>
      </c>
      <c r="N18">
        <v>0</v>
      </c>
      <c r="O18" t="s">
        <v>22</v>
      </c>
      <c r="P18">
        <v>4</v>
      </c>
      <c r="Q18" t="s">
        <v>22</v>
      </c>
    </row>
    <row r="19" spans="1:19" x14ac:dyDescent="0.35">
      <c r="A19">
        <v>18</v>
      </c>
      <c r="B19">
        <v>-6953.4993551330099</v>
      </c>
      <c r="C19">
        <v>9746.5006448669901</v>
      </c>
      <c r="D19">
        <v>0.27051282051282</v>
      </c>
      <c r="E19">
        <v>0</v>
      </c>
      <c r="F19">
        <v>4</v>
      </c>
      <c r="G19">
        <v>5</v>
      </c>
      <c r="M19" t="s">
        <v>30</v>
      </c>
      <c r="N19">
        <v>0</v>
      </c>
      <c r="O19" t="s">
        <v>22</v>
      </c>
      <c r="P19">
        <v>5</v>
      </c>
      <c r="Q19" t="s">
        <v>22</v>
      </c>
    </row>
    <row r="20" spans="1:19" x14ac:dyDescent="0.35">
      <c r="A20">
        <v>19</v>
      </c>
      <c r="B20">
        <v>-8511.6230901090203</v>
      </c>
      <c r="C20">
        <v>7588.3769098909697</v>
      </c>
      <c r="D20">
        <v>0.15384615384615299</v>
      </c>
      <c r="E20">
        <v>0</v>
      </c>
      <c r="F20">
        <v>2</v>
      </c>
      <c r="G20">
        <v>0</v>
      </c>
      <c r="M20" t="s">
        <v>31</v>
      </c>
      <c r="N20">
        <v>1</v>
      </c>
      <c r="O20" t="s">
        <v>22</v>
      </c>
      <c r="P20">
        <v>5</v>
      </c>
      <c r="Q20">
        <v>3</v>
      </c>
      <c r="R20" t="s">
        <v>22</v>
      </c>
      <c r="S20">
        <v>161</v>
      </c>
    </row>
    <row r="21" spans="1:19" x14ac:dyDescent="0.35">
      <c r="A21">
        <v>20</v>
      </c>
      <c r="B21">
        <v>-9975.1233128310105</v>
      </c>
      <c r="C21">
        <v>7284.8766871689804</v>
      </c>
      <c r="D21">
        <v>0.14198717948717901</v>
      </c>
      <c r="E21">
        <v>0</v>
      </c>
      <c r="F21">
        <v>2</v>
      </c>
      <c r="G21">
        <v>0</v>
      </c>
      <c r="M21" t="s">
        <v>32</v>
      </c>
      <c r="N21">
        <v>0</v>
      </c>
      <c r="O21" t="s">
        <v>22</v>
      </c>
      <c r="P21">
        <v>6</v>
      </c>
      <c r="Q21" t="s">
        <v>22</v>
      </c>
    </row>
    <row r="22" spans="1:19" x14ac:dyDescent="0.35">
      <c r="M22" t="s">
        <v>33</v>
      </c>
      <c r="N22">
        <v>0</v>
      </c>
      <c r="O22" t="s">
        <v>22</v>
      </c>
      <c r="P22">
        <v>6</v>
      </c>
      <c r="Q22" t="s">
        <v>22</v>
      </c>
    </row>
    <row r="23" spans="1:19" x14ac:dyDescent="0.35">
      <c r="A23" t="s">
        <v>92</v>
      </c>
      <c r="B23">
        <f>AVERAGE(B2:B21)</f>
        <v>-9613.7334092130641</v>
      </c>
      <c r="C23">
        <f t="shared" ref="C23:G23" si="0">AVERAGE(C2:C21)</f>
        <v>7354.2665907869068</v>
      </c>
      <c r="D23">
        <f t="shared" si="0"/>
        <v>0.17222222222222164</v>
      </c>
      <c r="E23">
        <f t="shared" si="0"/>
        <v>11.65</v>
      </c>
      <c r="F23">
        <f t="shared" si="0"/>
        <v>3.05</v>
      </c>
      <c r="G23">
        <f t="shared" si="0"/>
        <v>2.6633333333333322</v>
      </c>
      <c r="M23" t="s">
        <v>34</v>
      </c>
      <c r="N23">
        <v>0</v>
      </c>
      <c r="O23" t="s">
        <v>22</v>
      </c>
      <c r="P23">
        <v>7</v>
      </c>
      <c r="Q23" t="s">
        <v>22</v>
      </c>
    </row>
    <row r="24" spans="1:19" x14ac:dyDescent="0.35">
      <c r="A24" t="s">
        <v>93</v>
      </c>
      <c r="B24">
        <f>_xlfn.STDEV.S(B2:B21)</f>
        <v>3196.2778821949046</v>
      </c>
      <c r="C24">
        <f t="shared" ref="C24:G24" si="1">_xlfn.STDEV.S(C2:C21)</f>
        <v>3148.5046979088897</v>
      </c>
      <c r="D24">
        <f t="shared" si="1"/>
        <v>5.7981833784137328E-2</v>
      </c>
      <c r="E24">
        <f t="shared" si="1"/>
        <v>30.66160808774249</v>
      </c>
      <c r="F24">
        <f t="shared" si="1"/>
        <v>1.8202082009311027</v>
      </c>
      <c r="G24">
        <f t="shared" si="1"/>
        <v>3.2364318667430916</v>
      </c>
      <c r="M24" t="s">
        <v>35</v>
      </c>
      <c r="N24">
        <v>0</v>
      </c>
      <c r="O24" t="s">
        <v>22</v>
      </c>
      <c r="P24">
        <v>7</v>
      </c>
      <c r="Q24" t="s">
        <v>22</v>
      </c>
    </row>
    <row r="25" spans="1:19" x14ac:dyDescent="0.35">
      <c r="M25" t="s">
        <v>36</v>
      </c>
      <c r="N25">
        <v>0</v>
      </c>
      <c r="O25" t="s">
        <v>22</v>
      </c>
      <c r="P25">
        <v>8</v>
      </c>
      <c r="Q25" t="s">
        <v>22</v>
      </c>
    </row>
    <row r="26" spans="1:19" x14ac:dyDescent="0.35">
      <c r="M26" t="s">
        <v>37</v>
      </c>
      <c r="N26">
        <v>0</v>
      </c>
      <c r="O26" t="s">
        <v>22</v>
      </c>
      <c r="P26">
        <v>8</v>
      </c>
      <c r="Q26" t="s">
        <v>22</v>
      </c>
    </row>
    <row r="27" spans="1:19" x14ac:dyDescent="0.35">
      <c r="M27" t="s">
        <v>38</v>
      </c>
      <c r="N27">
        <v>0</v>
      </c>
      <c r="O27" t="s">
        <v>22</v>
      </c>
      <c r="P27">
        <v>9</v>
      </c>
      <c r="Q27" t="s">
        <v>22</v>
      </c>
    </row>
    <row r="28" spans="1:19" x14ac:dyDescent="0.35">
      <c r="M28" t="s">
        <v>39</v>
      </c>
      <c r="N28">
        <v>0</v>
      </c>
      <c r="O28" t="s">
        <v>22</v>
      </c>
      <c r="P28">
        <v>9</v>
      </c>
      <c r="Q28" t="s">
        <v>22</v>
      </c>
    </row>
    <row r="29" spans="1:19" x14ac:dyDescent="0.35">
      <c r="M29" t="s">
        <v>40</v>
      </c>
      <c r="N29">
        <v>0</v>
      </c>
      <c r="O29" t="s">
        <v>22</v>
      </c>
      <c r="P29">
        <v>10</v>
      </c>
      <c r="Q29" t="s">
        <v>22</v>
      </c>
    </row>
    <row r="30" spans="1:19" x14ac:dyDescent="0.35">
      <c r="M30" t="s">
        <v>41</v>
      </c>
      <c r="N30">
        <v>0</v>
      </c>
      <c r="O30" t="s">
        <v>22</v>
      </c>
      <c r="P30">
        <v>10</v>
      </c>
      <c r="Q30" t="s">
        <v>22</v>
      </c>
    </row>
    <row r="31" spans="1:19" x14ac:dyDescent="0.35">
      <c r="M31" t="s">
        <v>42</v>
      </c>
      <c r="N31" t="s">
        <v>43</v>
      </c>
    </row>
    <row r="32" spans="1:19" x14ac:dyDescent="0.35">
      <c r="M32" t="s">
        <v>8</v>
      </c>
    </row>
    <row r="33" spans="13:28" x14ac:dyDescent="0.35">
      <c r="M33" t="s">
        <v>44</v>
      </c>
      <c r="N33">
        <v>31</v>
      </c>
      <c r="O33" t="s">
        <v>22</v>
      </c>
      <c r="P33" t="s">
        <v>45</v>
      </c>
      <c r="Q33">
        <v>1</v>
      </c>
      <c r="R33" t="s">
        <v>22</v>
      </c>
      <c r="S33" t="s">
        <v>46</v>
      </c>
      <c r="T33" t="s">
        <v>47</v>
      </c>
      <c r="U33" t="s">
        <v>22</v>
      </c>
      <c r="V33">
        <v>1</v>
      </c>
      <c r="W33" t="s">
        <v>48</v>
      </c>
      <c r="X33">
        <v>4</v>
      </c>
      <c r="Y33" t="s">
        <v>22</v>
      </c>
      <c r="Z33" t="s">
        <v>49</v>
      </c>
      <c r="AA33" t="s">
        <v>22</v>
      </c>
      <c r="AB33" t="s">
        <v>145</v>
      </c>
    </row>
    <row r="34" spans="13:28" x14ac:dyDescent="0.35">
      <c r="M34" t="s">
        <v>44</v>
      </c>
      <c r="N34">
        <v>38</v>
      </c>
      <c r="O34" t="s">
        <v>22</v>
      </c>
      <c r="P34" t="s">
        <v>45</v>
      </c>
      <c r="Q34">
        <v>1</v>
      </c>
      <c r="R34" t="s">
        <v>22</v>
      </c>
      <c r="S34" t="s">
        <v>46</v>
      </c>
      <c r="T34" t="s">
        <v>50</v>
      </c>
      <c r="U34" t="s">
        <v>22</v>
      </c>
      <c r="V34">
        <v>4</v>
      </c>
      <c r="W34" t="s">
        <v>48</v>
      </c>
      <c r="X34">
        <v>1</v>
      </c>
      <c r="Y34" t="s">
        <v>22</v>
      </c>
      <c r="Z34" t="s">
        <v>51</v>
      </c>
      <c r="AA34" t="s">
        <v>22</v>
      </c>
      <c r="AB34" t="s">
        <v>146</v>
      </c>
    </row>
    <row r="35" spans="13:28" x14ac:dyDescent="0.35">
      <c r="M35" t="s">
        <v>44</v>
      </c>
      <c r="N35">
        <v>24</v>
      </c>
      <c r="O35" t="s">
        <v>22</v>
      </c>
      <c r="P35" t="s">
        <v>45</v>
      </c>
      <c r="Q35">
        <v>10</v>
      </c>
      <c r="R35" t="s">
        <v>22</v>
      </c>
      <c r="S35" t="s">
        <v>46</v>
      </c>
      <c r="T35" t="s">
        <v>47</v>
      </c>
      <c r="U35" t="s">
        <v>22</v>
      </c>
      <c r="V35">
        <v>5</v>
      </c>
      <c r="W35" t="s">
        <v>48</v>
      </c>
      <c r="X35">
        <v>3</v>
      </c>
      <c r="Y35" t="s">
        <v>22</v>
      </c>
      <c r="Z35" t="s">
        <v>49</v>
      </c>
      <c r="AA35" t="s">
        <v>22</v>
      </c>
      <c r="AB35" t="s">
        <v>147</v>
      </c>
    </row>
    <row r="36" spans="13:28" x14ac:dyDescent="0.35">
      <c r="M36" t="s">
        <v>9</v>
      </c>
    </row>
    <row r="37" spans="13:28" x14ac:dyDescent="0.35">
      <c r="M37" t="s">
        <v>10</v>
      </c>
    </row>
    <row r="39" spans="13:28" x14ac:dyDescent="0.35">
      <c r="M39" t="s">
        <v>54</v>
      </c>
      <c r="N39">
        <v>1</v>
      </c>
    </row>
    <row r="40" spans="13:28" x14ac:dyDescent="0.35">
      <c r="M40" t="s">
        <v>11</v>
      </c>
    </row>
    <row r="41" spans="13:28" x14ac:dyDescent="0.35">
      <c r="M41" t="s">
        <v>55</v>
      </c>
      <c r="N41" t="s">
        <v>56</v>
      </c>
      <c r="O41" t="s">
        <v>57</v>
      </c>
      <c r="P41" t="s">
        <v>58</v>
      </c>
      <c r="Q41" t="s">
        <v>59</v>
      </c>
      <c r="R41" t="s">
        <v>60</v>
      </c>
      <c r="S41" t="s">
        <v>61</v>
      </c>
    </row>
    <row r="42" spans="13:28" x14ac:dyDescent="0.35">
      <c r="M42" t="s">
        <v>11</v>
      </c>
    </row>
    <row r="43" spans="13:28" x14ac:dyDescent="0.35">
      <c r="M43">
        <v>1</v>
      </c>
      <c r="N43">
        <v>1</v>
      </c>
      <c r="O43">
        <v>4</v>
      </c>
      <c r="P43">
        <v>415</v>
      </c>
      <c r="Q43">
        <v>445</v>
      </c>
      <c r="R43">
        <v>30</v>
      </c>
      <c r="S43">
        <v>0</v>
      </c>
    </row>
    <row r="44" spans="13:28" x14ac:dyDescent="0.35">
      <c r="M44">
        <v>2</v>
      </c>
      <c r="N44">
        <v>4</v>
      </c>
      <c r="O44">
        <v>1</v>
      </c>
      <c r="P44">
        <v>533</v>
      </c>
      <c r="Q44">
        <v>563</v>
      </c>
      <c r="R44">
        <v>30</v>
      </c>
      <c r="S44">
        <v>0</v>
      </c>
    </row>
    <row r="46" spans="13:28" x14ac:dyDescent="0.35">
      <c r="M46" t="s">
        <v>54</v>
      </c>
      <c r="N46">
        <v>10</v>
      </c>
    </row>
    <row r="47" spans="13:28" x14ac:dyDescent="0.35">
      <c r="M47" t="s">
        <v>11</v>
      </c>
    </row>
    <row r="48" spans="13:28" x14ac:dyDescent="0.35">
      <c r="M48" t="s">
        <v>55</v>
      </c>
      <c r="N48" t="s">
        <v>56</v>
      </c>
      <c r="O48" t="s">
        <v>57</v>
      </c>
      <c r="P48" t="s">
        <v>58</v>
      </c>
      <c r="Q48" t="s">
        <v>59</v>
      </c>
      <c r="R48" t="s">
        <v>60</v>
      </c>
      <c r="S48" t="s">
        <v>61</v>
      </c>
    </row>
    <row r="49" spans="13:19" x14ac:dyDescent="0.35">
      <c r="M49" t="s">
        <v>11</v>
      </c>
    </row>
    <row r="50" spans="13:19" x14ac:dyDescent="0.35">
      <c r="M50">
        <v>1</v>
      </c>
      <c r="N50">
        <v>5</v>
      </c>
      <c r="O50">
        <v>3</v>
      </c>
      <c r="P50">
        <v>161</v>
      </c>
      <c r="Q50">
        <v>174</v>
      </c>
      <c r="R50">
        <v>13</v>
      </c>
      <c r="S50">
        <v>0</v>
      </c>
    </row>
    <row r="52" spans="13:19" x14ac:dyDescent="0.35">
      <c r="M52" t="s">
        <v>62</v>
      </c>
      <c r="N52" t="s">
        <v>63</v>
      </c>
      <c r="O5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9D46-3750-471B-9D45-65AC4E607656}">
  <dimension ref="A1:AC105"/>
  <sheetViews>
    <sheetView topLeftCell="A8" workbookViewId="0">
      <selection activeCell="I31" sqref="I31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4" x14ac:dyDescent="0.35">
      <c r="A2">
        <v>1</v>
      </c>
      <c r="B2">
        <v>1650.81997850486</v>
      </c>
      <c r="C2">
        <v>19070.819978504798</v>
      </c>
      <c r="D2">
        <v>0.107852564102564</v>
      </c>
      <c r="E2">
        <v>26</v>
      </c>
      <c r="F2">
        <v>4</v>
      </c>
      <c r="G2">
        <v>7.25</v>
      </c>
    </row>
    <row r="3" spans="1:24" x14ac:dyDescent="0.35">
      <c r="A3">
        <v>2</v>
      </c>
      <c r="B3">
        <v>18040.186760239401</v>
      </c>
      <c r="C3">
        <v>33780.186760239398</v>
      </c>
      <c r="D3">
        <v>0.15096153846153801</v>
      </c>
      <c r="E3">
        <v>51</v>
      </c>
      <c r="F3">
        <v>9</v>
      </c>
      <c r="G3">
        <v>12.4444444444444</v>
      </c>
    </row>
    <row r="4" spans="1:24" x14ac:dyDescent="0.35">
      <c r="A4">
        <v>3</v>
      </c>
      <c r="B4">
        <v>-3907.2446547510999</v>
      </c>
      <c r="C4">
        <v>12492.755345248799</v>
      </c>
      <c r="D4">
        <v>8.8782051282051203E-2</v>
      </c>
      <c r="E4">
        <v>55</v>
      </c>
      <c r="F4">
        <v>4</v>
      </c>
      <c r="G4">
        <v>7</v>
      </c>
    </row>
    <row r="5" spans="1:24" x14ac:dyDescent="0.35">
      <c r="A5">
        <v>4</v>
      </c>
      <c r="B5">
        <v>9309.5403078753297</v>
      </c>
      <c r="C5">
        <v>25409.540307875301</v>
      </c>
      <c r="D5">
        <v>0.108782051282051</v>
      </c>
      <c r="E5">
        <v>147</v>
      </c>
      <c r="F5">
        <v>8</v>
      </c>
      <c r="G5">
        <v>10.875</v>
      </c>
    </row>
    <row r="6" spans="1:24" x14ac:dyDescent="0.35">
      <c r="A6">
        <v>5</v>
      </c>
      <c r="B6">
        <v>9095.5737873652106</v>
      </c>
      <c r="C6">
        <v>24875.5737873652</v>
      </c>
      <c r="D6">
        <v>0.121410256410256</v>
      </c>
      <c r="E6">
        <v>148</v>
      </c>
      <c r="F6">
        <v>9</v>
      </c>
      <c r="G6">
        <v>9.7777777777777697</v>
      </c>
    </row>
    <row r="7" spans="1:24" x14ac:dyDescent="0.35">
      <c r="A7">
        <v>6</v>
      </c>
      <c r="B7">
        <v>24552.9808202067</v>
      </c>
      <c r="C7">
        <v>40552.9808202067</v>
      </c>
      <c r="D7">
        <v>0.13685897435897401</v>
      </c>
      <c r="E7">
        <v>101</v>
      </c>
      <c r="F7">
        <v>9</v>
      </c>
      <c r="G7">
        <v>7.4444444444444402</v>
      </c>
      <c r="N7" t="s">
        <v>12</v>
      </c>
      <c r="O7" t="s">
        <v>13</v>
      </c>
      <c r="P7" t="s">
        <v>14</v>
      </c>
      <c r="Q7" t="s">
        <v>15</v>
      </c>
    </row>
    <row r="8" spans="1:24" x14ac:dyDescent="0.35">
      <c r="A8">
        <v>7</v>
      </c>
      <c r="B8">
        <v>19242.970645327001</v>
      </c>
      <c r="C8">
        <v>34162.970645326997</v>
      </c>
      <c r="D8">
        <v>0.117564102564102</v>
      </c>
      <c r="E8">
        <v>143</v>
      </c>
      <c r="F8">
        <v>9</v>
      </c>
      <c r="G8">
        <v>9.55555555555555</v>
      </c>
      <c r="N8" t="s">
        <v>16</v>
      </c>
      <c r="O8" t="s">
        <v>17</v>
      </c>
      <c r="P8">
        <v>33594.436821051</v>
      </c>
    </row>
    <row r="9" spans="1:24" x14ac:dyDescent="0.35">
      <c r="A9">
        <v>8</v>
      </c>
      <c r="B9">
        <v>5354.76721171183</v>
      </c>
      <c r="C9">
        <v>22454.767211711802</v>
      </c>
      <c r="D9">
        <v>0.122115384615384</v>
      </c>
      <c r="E9">
        <v>122</v>
      </c>
      <c r="F9">
        <v>8</v>
      </c>
      <c r="G9">
        <v>8.125</v>
      </c>
      <c r="N9" t="s">
        <v>18</v>
      </c>
      <c r="O9" t="s">
        <v>17</v>
      </c>
      <c r="P9">
        <v>49634.436821051</v>
      </c>
    </row>
    <row r="10" spans="1:24" x14ac:dyDescent="0.35">
      <c r="A10">
        <v>9</v>
      </c>
      <c r="B10">
        <v>4275.1483405761101</v>
      </c>
      <c r="C10">
        <v>20015.148340576099</v>
      </c>
      <c r="D10">
        <v>7.1634615384615297E-2</v>
      </c>
      <c r="E10">
        <v>149</v>
      </c>
      <c r="F10">
        <v>7</v>
      </c>
      <c r="G10">
        <v>11.285714285714199</v>
      </c>
      <c r="N10" t="s">
        <v>19</v>
      </c>
      <c r="O10" t="s">
        <v>20</v>
      </c>
    </row>
    <row r="11" spans="1:24" x14ac:dyDescent="0.35">
      <c r="A11">
        <v>10</v>
      </c>
      <c r="B11">
        <v>11259.2900693475</v>
      </c>
      <c r="C11">
        <v>26159.290069347499</v>
      </c>
      <c r="D11">
        <v>0.12457264957264901</v>
      </c>
      <c r="E11">
        <v>77</v>
      </c>
      <c r="F11">
        <v>7</v>
      </c>
      <c r="G11">
        <v>8.2857142857142794</v>
      </c>
      <c r="N11" t="s">
        <v>7</v>
      </c>
    </row>
    <row r="12" spans="1:24" x14ac:dyDescent="0.35">
      <c r="A12">
        <v>11</v>
      </c>
      <c r="B12">
        <v>3520.4338979405802</v>
      </c>
      <c r="C12">
        <v>20820.4338979405</v>
      </c>
      <c r="D12">
        <v>9.6666666666666595E-2</v>
      </c>
      <c r="E12">
        <v>143</v>
      </c>
      <c r="F12">
        <v>6</v>
      </c>
      <c r="G12">
        <v>3.3333333333333299</v>
      </c>
      <c r="N12" t="s">
        <v>21</v>
      </c>
      <c r="O12">
        <v>0</v>
      </c>
      <c r="P12" t="s">
        <v>22</v>
      </c>
      <c r="Q12">
        <v>1</v>
      </c>
      <c r="R12" t="s">
        <v>22</v>
      </c>
    </row>
    <row r="13" spans="1:24" x14ac:dyDescent="0.35">
      <c r="A13">
        <v>12</v>
      </c>
      <c r="B13">
        <v>12109.608589994399</v>
      </c>
      <c r="C13">
        <v>28809.608589994401</v>
      </c>
      <c r="D13">
        <v>9.0384615384615299E-2</v>
      </c>
      <c r="E13">
        <v>44</v>
      </c>
      <c r="F13">
        <v>6</v>
      </c>
      <c r="G13">
        <v>9.8333333333333304</v>
      </c>
      <c r="N13" t="s">
        <v>23</v>
      </c>
      <c r="O13">
        <v>1</v>
      </c>
      <c r="P13" t="s">
        <v>22</v>
      </c>
      <c r="Q13">
        <v>1</v>
      </c>
      <c r="R13">
        <v>10</v>
      </c>
      <c r="S13" t="s">
        <v>22</v>
      </c>
      <c r="T13">
        <v>490</v>
      </c>
    </row>
    <row r="14" spans="1:24" x14ac:dyDescent="0.35">
      <c r="A14">
        <v>13</v>
      </c>
      <c r="B14">
        <v>12488.0478537175</v>
      </c>
      <c r="C14">
        <v>28388.0478537175</v>
      </c>
      <c r="D14">
        <v>0.14957264957264901</v>
      </c>
      <c r="E14">
        <v>69</v>
      </c>
      <c r="F14">
        <v>8</v>
      </c>
      <c r="G14">
        <v>10.125</v>
      </c>
      <c r="N14" t="s">
        <v>24</v>
      </c>
      <c r="O14">
        <v>0</v>
      </c>
      <c r="P14" t="s">
        <v>22</v>
      </c>
      <c r="Q14">
        <v>2</v>
      </c>
      <c r="R14" t="s">
        <v>22</v>
      </c>
    </row>
    <row r="15" spans="1:24" x14ac:dyDescent="0.35">
      <c r="A15">
        <v>14</v>
      </c>
      <c r="B15">
        <v>-1646.90324247851</v>
      </c>
      <c r="C15">
        <v>13853.0967575214</v>
      </c>
      <c r="D15">
        <v>0.15977564102564101</v>
      </c>
      <c r="E15">
        <v>80</v>
      </c>
      <c r="F15">
        <v>6</v>
      </c>
      <c r="G15">
        <v>9.1666666666666607</v>
      </c>
      <c r="N15" t="s">
        <v>25</v>
      </c>
      <c r="O15">
        <v>0</v>
      </c>
      <c r="P15" t="s">
        <v>22</v>
      </c>
      <c r="Q15">
        <v>2</v>
      </c>
      <c r="R15" t="s">
        <v>22</v>
      </c>
    </row>
    <row r="16" spans="1:24" x14ac:dyDescent="0.35">
      <c r="A16">
        <v>15</v>
      </c>
      <c r="B16">
        <v>8756.4202658744398</v>
      </c>
      <c r="C16">
        <v>26556.4202658744</v>
      </c>
      <c r="D16">
        <v>0.13886217948717899</v>
      </c>
      <c r="E16">
        <v>144</v>
      </c>
      <c r="F16">
        <v>9</v>
      </c>
      <c r="G16">
        <v>7.2222222222222197</v>
      </c>
      <c r="N16" t="s">
        <v>26</v>
      </c>
      <c r="O16">
        <v>3</v>
      </c>
      <c r="P16" t="s">
        <v>22</v>
      </c>
      <c r="Q16">
        <v>3</v>
      </c>
      <c r="R16">
        <v>1</v>
      </c>
      <c r="S16">
        <v>8</v>
      </c>
      <c r="T16">
        <v>1</v>
      </c>
      <c r="U16" t="s">
        <v>22</v>
      </c>
      <c r="V16">
        <v>15</v>
      </c>
      <c r="W16">
        <v>67</v>
      </c>
      <c r="X16">
        <v>351</v>
      </c>
    </row>
    <row r="17" spans="1:28" x14ac:dyDescent="0.35">
      <c r="A17">
        <v>16</v>
      </c>
      <c r="B17">
        <v>14391.2643924287</v>
      </c>
      <c r="C17">
        <v>30231.2643924287</v>
      </c>
      <c r="D17">
        <v>0.15309829059829</v>
      </c>
      <c r="E17">
        <v>69</v>
      </c>
      <c r="F17">
        <v>7</v>
      </c>
      <c r="G17">
        <v>10.285714285714199</v>
      </c>
      <c r="N17" t="s">
        <v>27</v>
      </c>
      <c r="O17">
        <v>5</v>
      </c>
      <c r="P17" t="s">
        <v>22</v>
      </c>
      <c r="Q17">
        <v>3</v>
      </c>
      <c r="R17">
        <v>5</v>
      </c>
      <c r="S17">
        <v>7</v>
      </c>
      <c r="T17">
        <v>5</v>
      </c>
      <c r="U17">
        <v>3</v>
      </c>
      <c r="V17">
        <v>5</v>
      </c>
      <c r="W17" t="s">
        <v>22</v>
      </c>
      <c r="X17">
        <v>313</v>
      </c>
      <c r="Y17">
        <v>174</v>
      </c>
      <c r="Z17">
        <v>91</v>
      </c>
      <c r="AA17">
        <v>15</v>
      </c>
      <c r="AB17">
        <v>15</v>
      </c>
    </row>
    <row r="18" spans="1:28" x14ac:dyDescent="0.35">
      <c r="A18">
        <v>17</v>
      </c>
      <c r="B18">
        <v>2546.4527575206098</v>
      </c>
      <c r="C18">
        <v>18046.452757520601</v>
      </c>
      <c r="D18">
        <v>0.30288461538461497</v>
      </c>
      <c r="E18">
        <v>0</v>
      </c>
      <c r="F18">
        <v>7</v>
      </c>
      <c r="G18">
        <v>11.285714285714199</v>
      </c>
      <c r="N18" t="s">
        <v>28</v>
      </c>
      <c r="O18">
        <v>0</v>
      </c>
      <c r="P18" t="s">
        <v>22</v>
      </c>
      <c r="Q18">
        <v>4</v>
      </c>
      <c r="R18" t="s">
        <v>22</v>
      </c>
    </row>
    <row r="19" spans="1:28" x14ac:dyDescent="0.35">
      <c r="A19">
        <v>18</v>
      </c>
      <c r="B19">
        <v>3660.6560177310098</v>
      </c>
      <c r="C19">
        <v>19420.656017730998</v>
      </c>
      <c r="D19">
        <v>0.119230769230769</v>
      </c>
      <c r="E19">
        <v>39</v>
      </c>
      <c r="F19">
        <v>4</v>
      </c>
      <c r="G19">
        <v>3.5</v>
      </c>
      <c r="N19" t="s">
        <v>29</v>
      </c>
      <c r="O19">
        <v>0</v>
      </c>
      <c r="P19" t="s">
        <v>22</v>
      </c>
      <c r="Q19">
        <v>4</v>
      </c>
      <c r="R19" t="s">
        <v>22</v>
      </c>
    </row>
    <row r="20" spans="1:28" x14ac:dyDescent="0.35">
      <c r="A20">
        <v>19</v>
      </c>
      <c r="B20">
        <v>33594.436821051</v>
      </c>
      <c r="C20">
        <v>49634.436821051</v>
      </c>
      <c r="D20">
        <v>0.15083333333333299</v>
      </c>
      <c r="E20">
        <v>127</v>
      </c>
      <c r="F20">
        <v>13</v>
      </c>
      <c r="G20">
        <v>12.4615384615384</v>
      </c>
      <c r="N20" t="s">
        <v>30</v>
      </c>
      <c r="O20">
        <v>1</v>
      </c>
      <c r="P20" t="s">
        <v>22</v>
      </c>
      <c r="Q20">
        <v>5</v>
      </c>
      <c r="R20">
        <v>2</v>
      </c>
      <c r="S20" t="s">
        <v>22</v>
      </c>
      <c r="T20">
        <v>119</v>
      </c>
    </row>
    <row r="21" spans="1:28" x14ac:dyDescent="0.35">
      <c r="A21">
        <v>20</v>
      </c>
      <c r="B21">
        <v>16918.4686696557</v>
      </c>
      <c r="C21">
        <v>33298.468669655696</v>
      </c>
      <c r="D21">
        <v>0.10794871794871699</v>
      </c>
      <c r="E21">
        <v>128</v>
      </c>
      <c r="F21">
        <v>8</v>
      </c>
      <c r="G21">
        <v>10.625</v>
      </c>
      <c r="N21" t="s">
        <v>31</v>
      </c>
      <c r="O21">
        <v>2</v>
      </c>
      <c r="P21" t="s">
        <v>22</v>
      </c>
      <c r="Q21">
        <v>5</v>
      </c>
      <c r="R21">
        <v>3</v>
      </c>
      <c r="S21">
        <v>2</v>
      </c>
      <c r="T21" t="s">
        <v>22</v>
      </c>
      <c r="U21">
        <v>480</v>
      </c>
      <c r="V21">
        <v>15</v>
      </c>
    </row>
    <row r="22" spans="1:28" x14ac:dyDescent="0.35">
      <c r="N22" t="s">
        <v>32</v>
      </c>
      <c r="O22">
        <v>5</v>
      </c>
      <c r="P22" t="s">
        <v>22</v>
      </c>
      <c r="Q22">
        <v>6</v>
      </c>
      <c r="R22">
        <v>3</v>
      </c>
      <c r="S22">
        <v>2</v>
      </c>
      <c r="T22">
        <v>6</v>
      </c>
      <c r="U22">
        <v>2</v>
      </c>
      <c r="V22">
        <v>5</v>
      </c>
      <c r="W22" t="s">
        <v>22</v>
      </c>
      <c r="X22">
        <v>173</v>
      </c>
      <c r="Y22">
        <v>284</v>
      </c>
      <c r="Z22">
        <v>15</v>
      </c>
      <c r="AA22">
        <v>15</v>
      </c>
      <c r="AB22">
        <v>15</v>
      </c>
    </row>
    <row r="23" spans="1:28" x14ac:dyDescent="0.35">
      <c r="A23" t="s">
        <v>92</v>
      </c>
      <c r="B23">
        <f>AVERAGE(B2:B21)</f>
        <v>10260.645964491912</v>
      </c>
      <c r="C23">
        <f t="shared" ref="C23:G23" si="0">AVERAGE(C2:C21)</f>
        <v>26401.64596449189</v>
      </c>
      <c r="D23">
        <f t="shared" si="0"/>
        <v>0.13098958333333294</v>
      </c>
      <c r="E23">
        <f t="shared" si="0"/>
        <v>93.1</v>
      </c>
      <c r="F23">
        <f t="shared" si="0"/>
        <v>7.4</v>
      </c>
      <c r="G23">
        <f t="shared" si="0"/>
        <v>8.9941086691086483</v>
      </c>
      <c r="N23" t="s">
        <v>33</v>
      </c>
      <c r="O23">
        <v>0</v>
      </c>
      <c r="P23" t="s">
        <v>22</v>
      </c>
      <c r="Q23">
        <v>6</v>
      </c>
      <c r="R23" t="s">
        <v>22</v>
      </c>
    </row>
    <row r="24" spans="1:28" x14ac:dyDescent="0.35">
      <c r="A24" t="s">
        <v>93</v>
      </c>
      <c r="B24">
        <f>_xlfn.STDEV.S(B2:B21)</f>
        <v>9148.6884424315376</v>
      </c>
      <c r="C24">
        <f t="shared" ref="C24:G24" si="1">_xlfn.STDEV.S(C2:C21)</f>
        <v>9005.2583879083832</v>
      </c>
      <c r="D24">
        <f t="shared" si="1"/>
        <v>4.7195362280060736E-2</v>
      </c>
      <c r="E24">
        <f t="shared" si="1"/>
        <v>47.685261984457163</v>
      </c>
      <c r="F24">
        <f t="shared" si="1"/>
        <v>2.1373865005261861</v>
      </c>
      <c r="G24">
        <f t="shared" si="1"/>
        <v>2.5265449394251904</v>
      </c>
      <c r="N24" t="s">
        <v>34</v>
      </c>
      <c r="O24">
        <v>0</v>
      </c>
      <c r="P24" t="s">
        <v>22</v>
      </c>
      <c r="Q24">
        <v>7</v>
      </c>
      <c r="R24" t="s">
        <v>22</v>
      </c>
    </row>
    <row r="25" spans="1:28" x14ac:dyDescent="0.35">
      <c r="N25" t="s">
        <v>35</v>
      </c>
      <c r="O25">
        <v>0</v>
      </c>
      <c r="P25" t="s">
        <v>22</v>
      </c>
      <c r="Q25">
        <v>7</v>
      </c>
      <c r="R25" t="s">
        <v>22</v>
      </c>
    </row>
    <row r="26" spans="1:28" x14ac:dyDescent="0.35">
      <c r="N26" t="s">
        <v>36</v>
      </c>
      <c r="O26">
        <v>0</v>
      </c>
      <c r="P26" t="s">
        <v>22</v>
      </c>
      <c r="Q26">
        <v>8</v>
      </c>
      <c r="R26" t="s">
        <v>22</v>
      </c>
    </row>
    <row r="27" spans="1:28" x14ac:dyDescent="0.35">
      <c r="N27" t="s">
        <v>37</v>
      </c>
      <c r="O27">
        <v>0</v>
      </c>
      <c r="P27" t="s">
        <v>22</v>
      </c>
      <c r="Q27">
        <v>8</v>
      </c>
      <c r="R27" t="s">
        <v>22</v>
      </c>
    </row>
    <row r="28" spans="1:28" x14ac:dyDescent="0.35">
      <c r="N28" t="s">
        <v>38</v>
      </c>
      <c r="O28">
        <v>0</v>
      </c>
      <c r="P28" t="s">
        <v>22</v>
      </c>
      <c r="Q28">
        <v>9</v>
      </c>
      <c r="R28" t="s">
        <v>22</v>
      </c>
    </row>
    <row r="29" spans="1:28" x14ac:dyDescent="0.35">
      <c r="N29" t="s">
        <v>39</v>
      </c>
      <c r="O29">
        <v>0</v>
      </c>
      <c r="P29" t="s">
        <v>22</v>
      </c>
      <c r="Q29">
        <v>9</v>
      </c>
      <c r="R29" t="s">
        <v>22</v>
      </c>
    </row>
    <row r="30" spans="1:28" x14ac:dyDescent="0.35">
      <c r="N30" t="s">
        <v>40</v>
      </c>
      <c r="O30">
        <v>0</v>
      </c>
      <c r="P30" t="s">
        <v>22</v>
      </c>
      <c r="Q30">
        <v>10</v>
      </c>
      <c r="R30" t="s">
        <v>22</v>
      </c>
    </row>
    <row r="31" spans="1:28" x14ac:dyDescent="0.35">
      <c r="N31" t="s">
        <v>41</v>
      </c>
      <c r="O31">
        <v>3</v>
      </c>
      <c r="P31" t="s">
        <v>22</v>
      </c>
      <c r="Q31">
        <v>10</v>
      </c>
      <c r="R31">
        <v>3</v>
      </c>
      <c r="S31">
        <v>4</v>
      </c>
      <c r="T31">
        <v>1</v>
      </c>
      <c r="U31" t="s">
        <v>22</v>
      </c>
      <c r="V31">
        <v>444</v>
      </c>
      <c r="W31">
        <v>82</v>
      </c>
      <c r="X31">
        <v>25</v>
      </c>
    </row>
    <row r="32" spans="1:28" x14ac:dyDescent="0.35">
      <c r="N32" t="s">
        <v>42</v>
      </c>
      <c r="O32" t="s">
        <v>43</v>
      </c>
    </row>
    <row r="33" spans="14:29" x14ac:dyDescent="0.35">
      <c r="N33" t="s">
        <v>8</v>
      </c>
    </row>
    <row r="34" spans="14:29" x14ac:dyDescent="0.35">
      <c r="N34" t="s">
        <v>44</v>
      </c>
      <c r="O34">
        <v>49</v>
      </c>
      <c r="P34" t="s">
        <v>22</v>
      </c>
      <c r="Q34" t="s">
        <v>45</v>
      </c>
      <c r="R34">
        <v>20</v>
      </c>
      <c r="S34" t="s">
        <v>22</v>
      </c>
      <c r="T34" t="s">
        <v>46</v>
      </c>
      <c r="U34" t="s">
        <v>73</v>
      </c>
      <c r="V34" t="s">
        <v>22</v>
      </c>
      <c r="W34">
        <v>4</v>
      </c>
      <c r="X34" t="s">
        <v>48</v>
      </c>
      <c r="Y34">
        <v>1</v>
      </c>
      <c r="Z34" t="s">
        <v>22</v>
      </c>
      <c r="AA34" t="s">
        <v>49</v>
      </c>
      <c r="AB34" t="s">
        <v>22</v>
      </c>
      <c r="AC34" t="s">
        <v>122</v>
      </c>
    </row>
    <row r="35" spans="14:29" x14ac:dyDescent="0.35">
      <c r="N35" t="s">
        <v>44</v>
      </c>
      <c r="O35">
        <v>37</v>
      </c>
      <c r="P35" t="s">
        <v>22</v>
      </c>
      <c r="Q35" t="s">
        <v>45</v>
      </c>
      <c r="R35">
        <v>5</v>
      </c>
      <c r="S35" t="s">
        <v>22</v>
      </c>
      <c r="T35" t="s">
        <v>46</v>
      </c>
      <c r="U35" t="s">
        <v>73</v>
      </c>
      <c r="V35" t="s">
        <v>22</v>
      </c>
      <c r="W35">
        <v>8</v>
      </c>
      <c r="X35" t="s">
        <v>48</v>
      </c>
      <c r="Y35">
        <v>1</v>
      </c>
      <c r="Z35" t="s">
        <v>22</v>
      </c>
      <c r="AA35" t="s">
        <v>49</v>
      </c>
      <c r="AB35" t="s">
        <v>22</v>
      </c>
      <c r="AC35" t="s">
        <v>123</v>
      </c>
    </row>
    <row r="36" spans="14:29" x14ac:dyDescent="0.35">
      <c r="N36" t="s">
        <v>44</v>
      </c>
      <c r="O36">
        <v>42</v>
      </c>
      <c r="P36" t="s">
        <v>22</v>
      </c>
      <c r="Q36" t="s">
        <v>45</v>
      </c>
      <c r="R36">
        <v>6</v>
      </c>
      <c r="S36" t="s">
        <v>22</v>
      </c>
      <c r="T36" t="s">
        <v>46</v>
      </c>
      <c r="U36" t="s">
        <v>50</v>
      </c>
      <c r="V36" t="s">
        <v>22</v>
      </c>
      <c r="W36">
        <v>5</v>
      </c>
      <c r="X36" t="s">
        <v>48</v>
      </c>
      <c r="Y36">
        <v>7</v>
      </c>
      <c r="Z36" t="s">
        <v>22</v>
      </c>
      <c r="AA36" t="s">
        <v>49</v>
      </c>
      <c r="AB36" t="s">
        <v>22</v>
      </c>
      <c r="AC36" t="s">
        <v>124</v>
      </c>
    </row>
    <row r="37" spans="14:29" x14ac:dyDescent="0.35">
      <c r="N37" t="s">
        <v>44</v>
      </c>
      <c r="O37">
        <v>5</v>
      </c>
      <c r="P37" t="s">
        <v>22</v>
      </c>
      <c r="Q37" t="s">
        <v>45</v>
      </c>
      <c r="R37">
        <v>5</v>
      </c>
      <c r="S37" t="s">
        <v>22</v>
      </c>
      <c r="T37" t="s">
        <v>46</v>
      </c>
      <c r="U37" t="s">
        <v>50</v>
      </c>
      <c r="V37" t="s">
        <v>22</v>
      </c>
      <c r="W37">
        <v>1</v>
      </c>
      <c r="X37" t="s">
        <v>48</v>
      </c>
      <c r="Y37">
        <v>8</v>
      </c>
      <c r="Z37" t="s">
        <v>22</v>
      </c>
      <c r="AA37" t="s">
        <v>51</v>
      </c>
      <c r="AB37" t="s">
        <v>22</v>
      </c>
      <c r="AC37" t="s">
        <v>113</v>
      </c>
    </row>
    <row r="38" spans="14:29" x14ac:dyDescent="0.35">
      <c r="N38" t="s">
        <v>44</v>
      </c>
      <c r="O38">
        <v>22</v>
      </c>
      <c r="P38" t="s">
        <v>22</v>
      </c>
      <c r="Q38" t="s">
        <v>45</v>
      </c>
      <c r="R38">
        <v>11</v>
      </c>
      <c r="S38" t="s">
        <v>22</v>
      </c>
      <c r="T38" t="s">
        <v>46</v>
      </c>
      <c r="U38" t="s">
        <v>47</v>
      </c>
      <c r="V38" t="s">
        <v>22</v>
      </c>
      <c r="W38">
        <v>6</v>
      </c>
      <c r="X38" t="s">
        <v>48</v>
      </c>
      <c r="Y38">
        <v>3</v>
      </c>
      <c r="Z38" t="s">
        <v>22</v>
      </c>
      <c r="AA38" t="s">
        <v>51</v>
      </c>
      <c r="AB38" t="s">
        <v>22</v>
      </c>
      <c r="AC38" t="s">
        <v>66</v>
      </c>
    </row>
    <row r="39" spans="14:29" x14ac:dyDescent="0.35">
      <c r="N39" t="s">
        <v>44</v>
      </c>
      <c r="O39">
        <v>56</v>
      </c>
      <c r="P39" t="s">
        <v>22</v>
      </c>
      <c r="Q39" t="s">
        <v>45</v>
      </c>
      <c r="R39">
        <v>6</v>
      </c>
      <c r="S39" t="s">
        <v>22</v>
      </c>
      <c r="T39" t="s">
        <v>46</v>
      </c>
      <c r="U39" t="s">
        <v>73</v>
      </c>
      <c r="V39" t="s">
        <v>22</v>
      </c>
      <c r="W39">
        <v>7</v>
      </c>
      <c r="X39" t="s">
        <v>48</v>
      </c>
      <c r="Y39">
        <v>5</v>
      </c>
      <c r="Z39" t="s">
        <v>22</v>
      </c>
      <c r="AA39" t="s">
        <v>49</v>
      </c>
      <c r="AB39" t="s">
        <v>22</v>
      </c>
      <c r="AC39" t="s">
        <v>125</v>
      </c>
    </row>
    <row r="40" spans="14:29" x14ac:dyDescent="0.35">
      <c r="N40" t="s">
        <v>44</v>
      </c>
      <c r="O40">
        <v>41</v>
      </c>
      <c r="P40" t="s">
        <v>22</v>
      </c>
      <c r="Q40" t="s">
        <v>45</v>
      </c>
      <c r="R40">
        <v>11</v>
      </c>
      <c r="S40" t="s">
        <v>22</v>
      </c>
      <c r="T40" t="s">
        <v>46</v>
      </c>
      <c r="U40" t="s">
        <v>50</v>
      </c>
      <c r="V40" t="s">
        <v>22</v>
      </c>
      <c r="W40">
        <v>3</v>
      </c>
      <c r="X40" t="s">
        <v>48</v>
      </c>
      <c r="Y40">
        <v>2</v>
      </c>
      <c r="Z40" t="s">
        <v>22</v>
      </c>
      <c r="AA40" t="s">
        <v>49</v>
      </c>
      <c r="AB40" t="s">
        <v>22</v>
      </c>
      <c r="AC40" t="s">
        <v>106</v>
      </c>
    </row>
    <row r="41" spans="14:29" x14ac:dyDescent="0.35">
      <c r="N41" t="s">
        <v>44</v>
      </c>
      <c r="O41">
        <v>46</v>
      </c>
      <c r="P41" t="s">
        <v>22</v>
      </c>
      <c r="Q41" t="s">
        <v>45</v>
      </c>
      <c r="R41">
        <v>20</v>
      </c>
      <c r="S41" t="s">
        <v>22</v>
      </c>
      <c r="T41" t="s">
        <v>46</v>
      </c>
      <c r="U41" t="s">
        <v>50</v>
      </c>
      <c r="V41" t="s">
        <v>22</v>
      </c>
      <c r="W41">
        <v>3</v>
      </c>
      <c r="X41" t="s">
        <v>48</v>
      </c>
      <c r="Y41">
        <v>4</v>
      </c>
      <c r="Z41" t="s">
        <v>22</v>
      </c>
      <c r="AA41" t="s">
        <v>51</v>
      </c>
      <c r="AB41" t="s">
        <v>22</v>
      </c>
      <c r="AC41" t="s">
        <v>126</v>
      </c>
    </row>
    <row r="42" spans="14:29" x14ac:dyDescent="0.35">
      <c r="N42" t="s">
        <v>44</v>
      </c>
      <c r="O42">
        <v>29</v>
      </c>
      <c r="P42" t="s">
        <v>22</v>
      </c>
      <c r="Q42" t="s">
        <v>45</v>
      </c>
      <c r="R42">
        <v>6</v>
      </c>
      <c r="S42" t="s">
        <v>22</v>
      </c>
      <c r="T42" t="s">
        <v>46</v>
      </c>
      <c r="U42" t="s">
        <v>47</v>
      </c>
      <c r="V42" t="s">
        <v>22</v>
      </c>
      <c r="W42">
        <v>3</v>
      </c>
      <c r="X42" t="s">
        <v>48</v>
      </c>
      <c r="Y42">
        <v>5</v>
      </c>
      <c r="Z42" t="s">
        <v>22</v>
      </c>
      <c r="AA42" t="s">
        <v>49</v>
      </c>
      <c r="AB42" t="s">
        <v>22</v>
      </c>
      <c r="AC42" t="s">
        <v>127</v>
      </c>
    </row>
    <row r="43" spans="14:29" x14ac:dyDescent="0.35">
      <c r="N43" t="s">
        <v>44</v>
      </c>
      <c r="O43">
        <v>34</v>
      </c>
      <c r="P43" t="s">
        <v>22</v>
      </c>
      <c r="Q43" t="s">
        <v>45</v>
      </c>
      <c r="R43">
        <v>20</v>
      </c>
      <c r="S43" t="s">
        <v>22</v>
      </c>
      <c r="T43" t="s">
        <v>46</v>
      </c>
      <c r="U43" t="s">
        <v>47</v>
      </c>
      <c r="V43" t="s">
        <v>22</v>
      </c>
      <c r="W43">
        <v>10</v>
      </c>
      <c r="X43" t="s">
        <v>48</v>
      </c>
      <c r="Y43">
        <v>3</v>
      </c>
      <c r="Z43" t="s">
        <v>22</v>
      </c>
      <c r="AA43" t="s">
        <v>51</v>
      </c>
      <c r="AB43" t="s">
        <v>22</v>
      </c>
      <c r="AC43" t="s">
        <v>128</v>
      </c>
    </row>
    <row r="44" spans="14:29" x14ac:dyDescent="0.35">
      <c r="N44" t="s">
        <v>44</v>
      </c>
      <c r="O44">
        <v>14</v>
      </c>
      <c r="P44" t="s">
        <v>22</v>
      </c>
      <c r="Q44" t="s">
        <v>45</v>
      </c>
      <c r="R44">
        <v>9</v>
      </c>
      <c r="S44" t="s">
        <v>22</v>
      </c>
      <c r="T44" t="s">
        <v>46</v>
      </c>
      <c r="U44" t="s">
        <v>47</v>
      </c>
      <c r="V44" t="s">
        <v>22</v>
      </c>
      <c r="W44">
        <v>5</v>
      </c>
      <c r="X44" t="s">
        <v>48</v>
      </c>
      <c r="Y44">
        <v>2</v>
      </c>
      <c r="Z44" t="s">
        <v>22</v>
      </c>
      <c r="AA44" t="s">
        <v>51</v>
      </c>
      <c r="AB44" t="s">
        <v>22</v>
      </c>
      <c r="AC44" t="s">
        <v>129</v>
      </c>
    </row>
    <row r="45" spans="14:29" x14ac:dyDescent="0.35">
      <c r="N45" t="s">
        <v>44</v>
      </c>
      <c r="O45">
        <v>38</v>
      </c>
      <c r="P45" t="s">
        <v>22</v>
      </c>
      <c r="Q45" t="s">
        <v>45</v>
      </c>
      <c r="R45">
        <v>10</v>
      </c>
      <c r="S45" t="s">
        <v>22</v>
      </c>
      <c r="T45" t="s">
        <v>46</v>
      </c>
      <c r="U45" t="s">
        <v>47</v>
      </c>
      <c r="V45" t="s">
        <v>22</v>
      </c>
      <c r="W45">
        <v>5</v>
      </c>
      <c r="X45" t="s">
        <v>48</v>
      </c>
      <c r="Y45">
        <v>3</v>
      </c>
      <c r="Z45" t="s">
        <v>22</v>
      </c>
      <c r="AA45" t="s">
        <v>51</v>
      </c>
      <c r="AB45" t="s">
        <v>22</v>
      </c>
      <c r="AC45" t="s">
        <v>123</v>
      </c>
    </row>
    <row r="46" spans="14:29" x14ac:dyDescent="0.35">
      <c r="N46" t="s">
        <v>44</v>
      </c>
      <c r="O46">
        <v>40</v>
      </c>
      <c r="P46" t="s">
        <v>22</v>
      </c>
      <c r="Q46" t="s">
        <v>45</v>
      </c>
      <c r="R46">
        <v>2</v>
      </c>
      <c r="S46" t="s">
        <v>22</v>
      </c>
      <c r="T46" t="s">
        <v>46</v>
      </c>
      <c r="U46" t="s">
        <v>47</v>
      </c>
      <c r="V46" t="s">
        <v>22</v>
      </c>
      <c r="W46">
        <v>1</v>
      </c>
      <c r="X46" t="s">
        <v>48</v>
      </c>
      <c r="Y46">
        <v>10</v>
      </c>
      <c r="Z46" t="s">
        <v>22</v>
      </c>
      <c r="AA46" t="s">
        <v>51</v>
      </c>
      <c r="AB46" t="s">
        <v>22</v>
      </c>
      <c r="AC46" t="s">
        <v>130</v>
      </c>
    </row>
    <row r="47" spans="14:29" x14ac:dyDescent="0.35">
      <c r="N47" t="s">
        <v>9</v>
      </c>
    </row>
    <row r="48" spans="14:29" x14ac:dyDescent="0.35">
      <c r="N48" t="s">
        <v>10</v>
      </c>
    </row>
    <row r="50" spans="14:20" x14ac:dyDescent="0.35">
      <c r="N50" t="s">
        <v>54</v>
      </c>
      <c r="O50">
        <v>2</v>
      </c>
    </row>
    <row r="51" spans="14:20" x14ac:dyDescent="0.35">
      <c r="N51" t="s">
        <v>11</v>
      </c>
    </row>
    <row r="52" spans="14:20" x14ac:dyDescent="0.35">
      <c r="N52" t="s">
        <v>55</v>
      </c>
      <c r="O52" t="s">
        <v>56</v>
      </c>
      <c r="P52" t="s">
        <v>57</v>
      </c>
      <c r="Q52" t="s">
        <v>58</v>
      </c>
      <c r="R52" t="s">
        <v>59</v>
      </c>
      <c r="S52" t="s">
        <v>60</v>
      </c>
      <c r="T52" t="s">
        <v>61</v>
      </c>
    </row>
    <row r="53" spans="14:20" x14ac:dyDescent="0.35">
      <c r="N53" t="s">
        <v>11</v>
      </c>
    </row>
    <row r="54" spans="14:20" x14ac:dyDescent="0.35">
      <c r="N54">
        <v>1</v>
      </c>
      <c r="O54">
        <v>1</v>
      </c>
      <c r="P54">
        <v>10</v>
      </c>
      <c r="Q54">
        <v>490</v>
      </c>
      <c r="R54">
        <v>500</v>
      </c>
      <c r="S54">
        <v>10</v>
      </c>
      <c r="T54">
        <v>1</v>
      </c>
    </row>
    <row r="56" spans="14:20" x14ac:dyDescent="0.35">
      <c r="N56" t="s">
        <v>54</v>
      </c>
      <c r="O56">
        <v>5</v>
      </c>
    </row>
    <row r="57" spans="14:20" x14ac:dyDescent="0.35">
      <c r="N57" t="s">
        <v>11</v>
      </c>
    </row>
    <row r="58" spans="14:20" x14ac:dyDescent="0.35">
      <c r="N58" t="s">
        <v>55</v>
      </c>
      <c r="O58" t="s">
        <v>56</v>
      </c>
      <c r="P58" t="s">
        <v>57</v>
      </c>
      <c r="Q58" t="s">
        <v>58</v>
      </c>
      <c r="R58" t="s">
        <v>59</v>
      </c>
      <c r="S58" t="s">
        <v>60</v>
      </c>
      <c r="T58" t="s">
        <v>61</v>
      </c>
    </row>
    <row r="59" spans="14:20" x14ac:dyDescent="0.35">
      <c r="N59" t="s">
        <v>11</v>
      </c>
    </row>
    <row r="60" spans="14:20" x14ac:dyDescent="0.35">
      <c r="N60">
        <v>1</v>
      </c>
      <c r="O60">
        <v>3</v>
      </c>
      <c r="P60">
        <v>1</v>
      </c>
      <c r="Q60">
        <v>15</v>
      </c>
      <c r="R60">
        <v>33</v>
      </c>
      <c r="S60">
        <v>18</v>
      </c>
      <c r="T60">
        <v>4</v>
      </c>
    </row>
    <row r="61" spans="14:20" x14ac:dyDescent="0.35">
      <c r="N61">
        <v>2</v>
      </c>
      <c r="O61">
        <v>1</v>
      </c>
      <c r="P61">
        <v>8</v>
      </c>
      <c r="Q61">
        <v>100</v>
      </c>
      <c r="R61">
        <v>129</v>
      </c>
      <c r="S61">
        <v>29</v>
      </c>
      <c r="T61">
        <v>0</v>
      </c>
    </row>
    <row r="62" spans="14:20" x14ac:dyDescent="0.35">
      <c r="N62">
        <v>3</v>
      </c>
      <c r="O62">
        <v>8</v>
      </c>
      <c r="P62">
        <v>1</v>
      </c>
      <c r="Q62">
        <v>480</v>
      </c>
      <c r="R62">
        <v>509</v>
      </c>
      <c r="S62">
        <v>29</v>
      </c>
      <c r="T62">
        <v>0</v>
      </c>
    </row>
    <row r="64" spans="14:20" x14ac:dyDescent="0.35">
      <c r="N64" t="s">
        <v>54</v>
      </c>
      <c r="O64">
        <v>6</v>
      </c>
    </row>
    <row r="65" spans="14:20" x14ac:dyDescent="0.35">
      <c r="N65" t="s">
        <v>11</v>
      </c>
    </row>
    <row r="66" spans="14:20" x14ac:dyDescent="0.35">
      <c r="N66" t="s">
        <v>55</v>
      </c>
      <c r="O66" t="s">
        <v>56</v>
      </c>
      <c r="P66" t="s">
        <v>57</v>
      </c>
      <c r="Q66" t="s">
        <v>58</v>
      </c>
      <c r="R66" t="s">
        <v>59</v>
      </c>
      <c r="S66" t="s">
        <v>60</v>
      </c>
      <c r="T66" t="s">
        <v>61</v>
      </c>
    </row>
    <row r="67" spans="14:20" x14ac:dyDescent="0.35">
      <c r="N67" t="s">
        <v>11</v>
      </c>
    </row>
    <row r="68" spans="14:20" x14ac:dyDescent="0.35">
      <c r="N68">
        <v>1</v>
      </c>
      <c r="O68">
        <v>3</v>
      </c>
      <c r="P68">
        <v>5</v>
      </c>
      <c r="Q68">
        <v>313</v>
      </c>
      <c r="R68">
        <v>326</v>
      </c>
      <c r="S68">
        <v>13</v>
      </c>
      <c r="T68">
        <v>0</v>
      </c>
    </row>
    <row r="69" spans="14:20" x14ac:dyDescent="0.35">
      <c r="N69">
        <v>2</v>
      </c>
      <c r="O69">
        <v>5</v>
      </c>
      <c r="P69">
        <v>7</v>
      </c>
      <c r="Q69">
        <v>500</v>
      </c>
      <c r="R69">
        <v>535</v>
      </c>
      <c r="S69">
        <v>35</v>
      </c>
      <c r="T69">
        <v>0</v>
      </c>
    </row>
    <row r="70" spans="14:20" x14ac:dyDescent="0.35">
      <c r="N70">
        <v>3</v>
      </c>
      <c r="O70">
        <v>7</v>
      </c>
      <c r="P70">
        <v>5</v>
      </c>
      <c r="Q70">
        <v>626</v>
      </c>
      <c r="R70">
        <v>661</v>
      </c>
      <c r="S70">
        <v>35</v>
      </c>
      <c r="T70">
        <v>0</v>
      </c>
    </row>
    <row r="71" spans="14:20" x14ac:dyDescent="0.35">
      <c r="N71">
        <v>4</v>
      </c>
      <c r="O71">
        <v>5</v>
      </c>
      <c r="P71">
        <v>3</v>
      </c>
      <c r="Q71">
        <v>676</v>
      </c>
      <c r="R71">
        <v>689</v>
      </c>
      <c r="S71">
        <v>13</v>
      </c>
      <c r="T71">
        <v>4</v>
      </c>
    </row>
    <row r="72" spans="14:20" x14ac:dyDescent="0.35">
      <c r="N72">
        <v>5</v>
      </c>
      <c r="O72">
        <v>3</v>
      </c>
      <c r="P72">
        <v>5</v>
      </c>
      <c r="Q72">
        <v>704</v>
      </c>
      <c r="R72">
        <v>717</v>
      </c>
      <c r="S72">
        <v>13</v>
      </c>
      <c r="T72">
        <v>4</v>
      </c>
    </row>
    <row r="74" spans="14:20" x14ac:dyDescent="0.35">
      <c r="N74" t="s">
        <v>54</v>
      </c>
      <c r="O74">
        <v>9</v>
      </c>
    </row>
    <row r="75" spans="14:20" x14ac:dyDescent="0.35">
      <c r="N75" t="s">
        <v>11</v>
      </c>
    </row>
    <row r="76" spans="14:20" x14ac:dyDescent="0.35">
      <c r="N76" t="s">
        <v>55</v>
      </c>
      <c r="O76" t="s">
        <v>56</v>
      </c>
      <c r="P76" t="s">
        <v>57</v>
      </c>
      <c r="Q76" t="s">
        <v>58</v>
      </c>
      <c r="R76" t="s">
        <v>59</v>
      </c>
      <c r="S76" t="s">
        <v>60</v>
      </c>
      <c r="T76" t="s">
        <v>61</v>
      </c>
    </row>
    <row r="77" spans="14:20" x14ac:dyDescent="0.35">
      <c r="N77" t="s">
        <v>11</v>
      </c>
    </row>
    <row r="78" spans="14:20" x14ac:dyDescent="0.35">
      <c r="N78">
        <v>1</v>
      </c>
      <c r="O78">
        <v>5</v>
      </c>
      <c r="P78">
        <v>2</v>
      </c>
      <c r="Q78">
        <v>119</v>
      </c>
      <c r="R78">
        <v>135</v>
      </c>
      <c r="S78">
        <v>16</v>
      </c>
      <c r="T78">
        <v>0</v>
      </c>
    </row>
    <row r="80" spans="14:20" x14ac:dyDescent="0.35">
      <c r="N80" t="s">
        <v>54</v>
      </c>
      <c r="O80">
        <v>10</v>
      </c>
    </row>
    <row r="81" spans="14:20" x14ac:dyDescent="0.35">
      <c r="N81" t="s">
        <v>11</v>
      </c>
    </row>
    <row r="82" spans="14:20" x14ac:dyDescent="0.35">
      <c r="N82" t="s">
        <v>55</v>
      </c>
      <c r="O82" t="s">
        <v>56</v>
      </c>
      <c r="P82" t="s">
        <v>57</v>
      </c>
      <c r="Q82" t="s">
        <v>58</v>
      </c>
      <c r="R82" t="s">
        <v>59</v>
      </c>
      <c r="S82" t="s">
        <v>60</v>
      </c>
      <c r="T82" t="s">
        <v>61</v>
      </c>
    </row>
    <row r="83" spans="14:20" x14ac:dyDescent="0.35">
      <c r="N83" t="s">
        <v>11</v>
      </c>
    </row>
    <row r="84" spans="14:20" x14ac:dyDescent="0.35">
      <c r="N84">
        <v>1</v>
      </c>
      <c r="O84">
        <v>5</v>
      </c>
      <c r="P84">
        <v>3</v>
      </c>
      <c r="Q84">
        <v>480</v>
      </c>
      <c r="R84">
        <v>493</v>
      </c>
      <c r="S84">
        <v>13</v>
      </c>
      <c r="T84">
        <v>1</v>
      </c>
    </row>
    <row r="85" spans="14:20" x14ac:dyDescent="0.35">
      <c r="N85">
        <v>2</v>
      </c>
      <c r="O85">
        <v>3</v>
      </c>
      <c r="P85">
        <v>2</v>
      </c>
      <c r="Q85">
        <v>508</v>
      </c>
      <c r="R85">
        <v>535</v>
      </c>
      <c r="S85">
        <v>27</v>
      </c>
      <c r="T85">
        <v>4</v>
      </c>
    </row>
    <row r="87" spans="14:20" x14ac:dyDescent="0.35">
      <c r="N87" t="s">
        <v>54</v>
      </c>
      <c r="O87">
        <v>11</v>
      </c>
    </row>
    <row r="88" spans="14:20" x14ac:dyDescent="0.35">
      <c r="N88" t="s">
        <v>11</v>
      </c>
    </row>
    <row r="89" spans="14:20" x14ac:dyDescent="0.35">
      <c r="N89" t="s">
        <v>55</v>
      </c>
      <c r="O89" t="s">
        <v>56</v>
      </c>
      <c r="P89" t="s">
        <v>57</v>
      </c>
      <c r="Q89" t="s">
        <v>58</v>
      </c>
      <c r="R89" t="s">
        <v>59</v>
      </c>
      <c r="S89" t="s">
        <v>60</v>
      </c>
      <c r="T89" t="s">
        <v>61</v>
      </c>
    </row>
    <row r="90" spans="14:20" x14ac:dyDescent="0.35">
      <c r="N90" t="s">
        <v>11</v>
      </c>
    </row>
    <row r="91" spans="14:20" x14ac:dyDescent="0.35">
      <c r="N91">
        <v>1</v>
      </c>
      <c r="O91">
        <v>6</v>
      </c>
      <c r="P91">
        <v>3</v>
      </c>
      <c r="Q91">
        <v>173</v>
      </c>
      <c r="R91">
        <v>199</v>
      </c>
      <c r="S91">
        <v>26</v>
      </c>
      <c r="T91">
        <v>0</v>
      </c>
    </row>
    <row r="92" spans="14:20" x14ac:dyDescent="0.35">
      <c r="N92">
        <v>2</v>
      </c>
      <c r="O92">
        <v>3</v>
      </c>
      <c r="P92">
        <v>2</v>
      </c>
      <c r="Q92">
        <v>483</v>
      </c>
      <c r="R92">
        <v>510</v>
      </c>
      <c r="S92">
        <v>27</v>
      </c>
      <c r="T92">
        <v>0</v>
      </c>
    </row>
    <row r="93" spans="14:20" x14ac:dyDescent="0.35">
      <c r="N93">
        <v>3</v>
      </c>
      <c r="O93">
        <v>2</v>
      </c>
      <c r="P93">
        <v>6</v>
      </c>
      <c r="Q93">
        <v>525</v>
      </c>
      <c r="R93">
        <v>545</v>
      </c>
      <c r="S93">
        <v>20</v>
      </c>
      <c r="T93">
        <v>4</v>
      </c>
    </row>
    <row r="94" spans="14:20" x14ac:dyDescent="0.35">
      <c r="N94">
        <v>4</v>
      </c>
      <c r="O94">
        <v>6</v>
      </c>
      <c r="P94">
        <v>2</v>
      </c>
      <c r="Q94">
        <v>560</v>
      </c>
      <c r="R94">
        <v>580</v>
      </c>
      <c r="S94">
        <v>20</v>
      </c>
      <c r="T94">
        <v>4</v>
      </c>
    </row>
    <row r="95" spans="14:20" x14ac:dyDescent="0.35">
      <c r="N95">
        <v>5</v>
      </c>
      <c r="O95">
        <v>2</v>
      </c>
      <c r="P95">
        <v>5</v>
      </c>
      <c r="Q95">
        <v>595</v>
      </c>
      <c r="R95">
        <v>611</v>
      </c>
      <c r="S95">
        <v>16</v>
      </c>
      <c r="T95">
        <v>4</v>
      </c>
    </row>
    <row r="97" spans="14:20" x14ac:dyDescent="0.35">
      <c r="N97" t="s">
        <v>54</v>
      </c>
      <c r="O97">
        <v>20</v>
      </c>
    </row>
    <row r="98" spans="14:20" x14ac:dyDescent="0.35">
      <c r="N98" t="s">
        <v>11</v>
      </c>
    </row>
    <row r="99" spans="14:20" x14ac:dyDescent="0.35">
      <c r="N99" t="s">
        <v>55</v>
      </c>
      <c r="O99" t="s">
        <v>56</v>
      </c>
      <c r="P99" t="s">
        <v>57</v>
      </c>
      <c r="Q99" t="s">
        <v>58</v>
      </c>
      <c r="R99" t="s">
        <v>59</v>
      </c>
      <c r="S99" t="s">
        <v>60</v>
      </c>
      <c r="T99" t="s">
        <v>61</v>
      </c>
    </row>
    <row r="100" spans="14:20" x14ac:dyDescent="0.35">
      <c r="N100" t="s">
        <v>11</v>
      </c>
    </row>
    <row r="101" spans="14:20" x14ac:dyDescent="0.35">
      <c r="N101">
        <v>1</v>
      </c>
      <c r="O101">
        <v>10</v>
      </c>
      <c r="P101">
        <v>3</v>
      </c>
      <c r="Q101">
        <v>444</v>
      </c>
      <c r="R101">
        <v>463</v>
      </c>
      <c r="S101">
        <v>19</v>
      </c>
      <c r="T101">
        <v>0</v>
      </c>
    </row>
    <row r="102" spans="14:20" x14ac:dyDescent="0.35">
      <c r="N102">
        <v>2</v>
      </c>
      <c r="O102">
        <v>3</v>
      </c>
      <c r="P102">
        <v>4</v>
      </c>
      <c r="Q102">
        <v>545</v>
      </c>
      <c r="R102">
        <v>561</v>
      </c>
      <c r="S102">
        <v>16</v>
      </c>
      <c r="T102">
        <v>1</v>
      </c>
    </row>
    <row r="103" spans="14:20" x14ac:dyDescent="0.35">
      <c r="N103">
        <v>3</v>
      </c>
      <c r="O103">
        <v>4</v>
      </c>
      <c r="P103">
        <v>1</v>
      </c>
      <c r="Q103">
        <v>586</v>
      </c>
      <c r="R103">
        <v>616</v>
      </c>
      <c r="S103">
        <v>30</v>
      </c>
      <c r="T103">
        <v>0</v>
      </c>
    </row>
    <row r="105" spans="14:20" x14ac:dyDescent="0.35">
      <c r="N105" t="s">
        <v>62</v>
      </c>
      <c r="O105" t="s">
        <v>63</v>
      </c>
      <c r="P105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3B44-F974-47B3-B79B-6498B508C9D4}">
  <dimension ref="A1:AB113"/>
  <sheetViews>
    <sheetView topLeftCell="M94" workbookViewId="0">
      <selection activeCell="L6" sqref="L6:AB113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4" x14ac:dyDescent="0.35">
      <c r="A2">
        <v>1</v>
      </c>
      <c r="B2">
        <v>12.3995393555342</v>
      </c>
      <c r="C2">
        <v>17432.399539355501</v>
      </c>
      <c r="D2">
        <v>0.13810541310541299</v>
      </c>
      <c r="E2">
        <v>281</v>
      </c>
      <c r="F2">
        <v>10</v>
      </c>
      <c r="G2">
        <v>0.7</v>
      </c>
    </row>
    <row r="3" spans="1:24" x14ac:dyDescent="0.35">
      <c r="A3">
        <v>2</v>
      </c>
      <c r="B3">
        <v>1784.2706497946001</v>
      </c>
      <c r="C3">
        <v>19084.270649794598</v>
      </c>
      <c r="D3">
        <v>0.20427350427350399</v>
      </c>
      <c r="E3">
        <v>109</v>
      </c>
      <c r="F3">
        <v>6</v>
      </c>
      <c r="G3">
        <v>2</v>
      </c>
    </row>
    <row r="4" spans="1:24" x14ac:dyDescent="0.35">
      <c r="A4">
        <v>3</v>
      </c>
      <c r="B4">
        <v>5932.82152784154</v>
      </c>
      <c r="C4">
        <v>22292.821527841501</v>
      </c>
      <c r="D4">
        <v>0.143589743589743</v>
      </c>
      <c r="E4">
        <v>303</v>
      </c>
      <c r="F4">
        <v>12</v>
      </c>
      <c r="G4">
        <v>6.25</v>
      </c>
    </row>
    <row r="5" spans="1:24" x14ac:dyDescent="0.35">
      <c r="A5">
        <v>4</v>
      </c>
      <c r="B5">
        <v>-3176.9330027526398</v>
      </c>
      <c r="C5">
        <v>12823.066997247301</v>
      </c>
      <c r="D5">
        <v>0.16025641025640999</v>
      </c>
      <c r="E5">
        <v>80</v>
      </c>
      <c r="F5">
        <v>6</v>
      </c>
      <c r="G5">
        <v>11.6666666666666</v>
      </c>
    </row>
    <row r="6" spans="1:24" x14ac:dyDescent="0.35">
      <c r="A6">
        <v>5</v>
      </c>
      <c r="B6">
        <v>5746.7459315538999</v>
      </c>
      <c r="C6">
        <v>23586.745931553902</v>
      </c>
      <c r="D6">
        <v>0.146153846153846</v>
      </c>
      <c r="E6">
        <v>243</v>
      </c>
      <c r="F6">
        <v>10</v>
      </c>
      <c r="G6">
        <v>3.9</v>
      </c>
      <c r="L6" t="s">
        <v>12</v>
      </c>
      <c r="M6" t="s">
        <v>13</v>
      </c>
      <c r="N6" t="s">
        <v>14</v>
      </c>
      <c r="O6" t="s">
        <v>15</v>
      </c>
    </row>
    <row r="7" spans="1:24" x14ac:dyDescent="0.35">
      <c r="A7">
        <v>6</v>
      </c>
      <c r="B7">
        <v>-960.68487280115005</v>
      </c>
      <c r="C7">
        <v>15619.315127198801</v>
      </c>
      <c r="D7">
        <v>0.136538461538461</v>
      </c>
      <c r="E7">
        <v>185</v>
      </c>
      <c r="F7">
        <v>6</v>
      </c>
      <c r="G7">
        <v>2.5</v>
      </c>
      <c r="L7" t="s">
        <v>16</v>
      </c>
      <c r="M7" t="s">
        <v>17</v>
      </c>
      <c r="N7">
        <v>8534.8039272460592</v>
      </c>
    </row>
    <row r="8" spans="1:24" x14ac:dyDescent="0.35">
      <c r="A8">
        <v>7</v>
      </c>
      <c r="B8">
        <v>1886.1992715820199</v>
      </c>
      <c r="C8">
        <v>18706.199271582002</v>
      </c>
      <c r="D8">
        <v>0.31538461538461499</v>
      </c>
      <c r="E8">
        <v>15</v>
      </c>
      <c r="F8">
        <v>4</v>
      </c>
      <c r="G8">
        <v>7.5</v>
      </c>
      <c r="L8" t="s">
        <v>18</v>
      </c>
      <c r="M8" t="s">
        <v>17</v>
      </c>
      <c r="N8">
        <v>24714.803927246001</v>
      </c>
    </row>
    <row r="9" spans="1:24" x14ac:dyDescent="0.35">
      <c r="A9">
        <v>8</v>
      </c>
      <c r="B9">
        <v>-1827.3579567252</v>
      </c>
      <c r="C9">
        <v>14052.6420432747</v>
      </c>
      <c r="D9">
        <v>0.15256410256410199</v>
      </c>
      <c r="E9">
        <v>38</v>
      </c>
      <c r="F9">
        <v>3</v>
      </c>
      <c r="G9">
        <v>0</v>
      </c>
      <c r="L9" t="s">
        <v>19</v>
      </c>
      <c r="M9" t="s">
        <v>20</v>
      </c>
    </row>
    <row r="10" spans="1:24" x14ac:dyDescent="0.35">
      <c r="A10">
        <v>9</v>
      </c>
      <c r="B10">
        <v>3321.9855301672301</v>
      </c>
      <c r="C10">
        <v>20781.9855301672</v>
      </c>
      <c r="D10">
        <v>0.115</v>
      </c>
      <c r="E10">
        <v>121</v>
      </c>
      <c r="F10">
        <v>5</v>
      </c>
      <c r="G10">
        <v>4</v>
      </c>
      <c r="L10" t="s">
        <v>7</v>
      </c>
    </row>
    <row r="11" spans="1:24" x14ac:dyDescent="0.35">
      <c r="A11">
        <v>10</v>
      </c>
      <c r="B11">
        <v>-2644.7223008835499</v>
      </c>
      <c r="C11">
        <v>12855.277699116399</v>
      </c>
      <c r="D11">
        <v>0.22179487179487101</v>
      </c>
      <c r="E11">
        <v>38</v>
      </c>
      <c r="F11">
        <v>6</v>
      </c>
      <c r="G11">
        <v>9.1666666666666607</v>
      </c>
      <c r="L11" t="s">
        <v>21</v>
      </c>
      <c r="M11">
        <v>4</v>
      </c>
      <c r="N11" t="s">
        <v>22</v>
      </c>
      <c r="O11">
        <v>1</v>
      </c>
      <c r="P11">
        <v>4</v>
      </c>
      <c r="Q11">
        <v>7</v>
      </c>
      <c r="R11">
        <v>4</v>
      </c>
      <c r="S11">
        <v>1</v>
      </c>
      <c r="T11" t="s">
        <v>22</v>
      </c>
      <c r="U11">
        <v>30</v>
      </c>
      <c r="V11">
        <v>30</v>
      </c>
      <c r="W11">
        <v>30</v>
      </c>
      <c r="X11">
        <v>30</v>
      </c>
    </row>
    <row r="12" spans="1:24" x14ac:dyDescent="0.35">
      <c r="A12">
        <v>11</v>
      </c>
      <c r="B12">
        <v>-1677.9770134379501</v>
      </c>
      <c r="C12">
        <v>15062.022986562</v>
      </c>
      <c r="D12">
        <v>0.15576923076922999</v>
      </c>
      <c r="E12">
        <v>19</v>
      </c>
      <c r="F12">
        <v>4</v>
      </c>
      <c r="G12">
        <v>2.25</v>
      </c>
      <c r="L12" t="s">
        <v>23</v>
      </c>
      <c r="M12">
        <v>3</v>
      </c>
      <c r="N12" t="s">
        <v>22</v>
      </c>
      <c r="O12">
        <v>1</v>
      </c>
      <c r="P12">
        <v>4</v>
      </c>
      <c r="Q12">
        <v>10</v>
      </c>
      <c r="R12">
        <v>1</v>
      </c>
      <c r="S12" t="s">
        <v>22</v>
      </c>
      <c r="T12">
        <v>439</v>
      </c>
      <c r="U12">
        <v>31</v>
      </c>
      <c r="V12">
        <v>30</v>
      </c>
    </row>
    <row r="13" spans="1:24" x14ac:dyDescent="0.35">
      <c r="A13">
        <v>12</v>
      </c>
      <c r="B13">
        <v>490.81366268946601</v>
      </c>
      <c r="C13">
        <v>16770.813662689401</v>
      </c>
      <c r="D13">
        <v>0.28173076923076901</v>
      </c>
      <c r="E13">
        <v>101</v>
      </c>
      <c r="F13">
        <v>5</v>
      </c>
      <c r="G13">
        <v>5.6</v>
      </c>
      <c r="L13" t="s">
        <v>24</v>
      </c>
      <c r="M13">
        <v>0</v>
      </c>
      <c r="N13" t="s">
        <v>22</v>
      </c>
      <c r="O13">
        <v>2</v>
      </c>
      <c r="P13" t="s">
        <v>22</v>
      </c>
    </row>
    <row r="14" spans="1:24" x14ac:dyDescent="0.35">
      <c r="A14">
        <v>13</v>
      </c>
      <c r="B14">
        <v>3143.97298663838</v>
      </c>
      <c r="C14">
        <v>19363.972986638299</v>
      </c>
      <c r="D14">
        <v>0.129487179487179</v>
      </c>
      <c r="E14">
        <v>125</v>
      </c>
      <c r="F14">
        <v>6</v>
      </c>
      <c r="G14">
        <v>4.3333333333333304</v>
      </c>
      <c r="L14" t="s">
        <v>25</v>
      </c>
      <c r="M14">
        <v>0</v>
      </c>
      <c r="N14" t="s">
        <v>22</v>
      </c>
      <c r="O14">
        <v>2</v>
      </c>
      <c r="P14" t="s">
        <v>22</v>
      </c>
    </row>
    <row r="15" spans="1:24" x14ac:dyDescent="0.35">
      <c r="A15">
        <v>14</v>
      </c>
      <c r="B15">
        <v>3166.7771503734002</v>
      </c>
      <c r="C15">
        <v>19426.7771503734</v>
      </c>
      <c r="D15">
        <v>0.18822115384615301</v>
      </c>
      <c r="E15">
        <v>131</v>
      </c>
      <c r="F15">
        <v>8</v>
      </c>
      <c r="G15">
        <v>7.5</v>
      </c>
      <c r="L15" t="s">
        <v>26</v>
      </c>
      <c r="M15">
        <v>0</v>
      </c>
      <c r="N15" t="s">
        <v>22</v>
      </c>
      <c r="O15">
        <v>3</v>
      </c>
      <c r="P15" t="s">
        <v>22</v>
      </c>
    </row>
    <row r="16" spans="1:24" x14ac:dyDescent="0.35">
      <c r="A16">
        <v>15</v>
      </c>
      <c r="B16">
        <v>5627.9853035738297</v>
      </c>
      <c r="C16">
        <v>21527.985303573802</v>
      </c>
      <c r="D16">
        <v>0.17094017094017</v>
      </c>
      <c r="E16">
        <v>43</v>
      </c>
      <c r="F16">
        <v>6</v>
      </c>
      <c r="G16">
        <v>10.5</v>
      </c>
      <c r="L16" t="s">
        <v>27</v>
      </c>
      <c r="M16">
        <v>4</v>
      </c>
      <c r="N16" t="s">
        <v>22</v>
      </c>
      <c r="O16">
        <v>3</v>
      </c>
      <c r="P16">
        <v>5</v>
      </c>
      <c r="Q16">
        <v>3</v>
      </c>
      <c r="R16">
        <v>10</v>
      </c>
      <c r="S16">
        <v>3</v>
      </c>
      <c r="T16" t="s">
        <v>22</v>
      </c>
      <c r="U16">
        <v>54</v>
      </c>
      <c r="V16">
        <v>30</v>
      </c>
      <c r="W16">
        <v>30</v>
      </c>
      <c r="X16">
        <v>30</v>
      </c>
    </row>
    <row r="17" spans="1:24" x14ac:dyDescent="0.35">
      <c r="A17">
        <v>16</v>
      </c>
      <c r="B17">
        <v>8534.8039272460592</v>
      </c>
      <c r="C17">
        <v>24714.803927246001</v>
      </c>
      <c r="D17">
        <v>0.17359775641025599</v>
      </c>
      <c r="E17">
        <v>311</v>
      </c>
      <c r="F17">
        <v>10</v>
      </c>
      <c r="G17">
        <v>7.1</v>
      </c>
      <c r="L17" t="s">
        <v>28</v>
      </c>
      <c r="M17">
        <v>3</v>
      </c>
      <c r="N17" t="s">
        <v>22</v>
      </c>
      <c r="O17">
        <v>4</v>
      </c>
      <c r="P17">
        <v>9</v>
      </c>
      <c r="Q17">
        <v>3</v>
      </c>
      <c r="R17">
        <v>9</v>
      </c>
      <c r="S17" t="s">
        <v>22</v>
      </c>
      <c r="T17">
        <v>30</v>
      </c>
      <c r="U17">
        <v>48</v>
      </c>
      <c r="V17">
        <v>613</v>
      </c>
    </row>
    <row r="18" spans="1:24" x14ac:dyDescent="0.35">
      <c r="A18">
        <v>17</v>
      </c>
      <c r="B18">
        <v>821.24406777068998</v>
      </c>
      <c r="C18">
        <v>17521.2440677706</v>
      </c>
      <c r="D18">
        <v>0.18846153846153799</v>
      </c>
      <c r="E18">
        <v>36</v>
      </c>
      <c r="F18">
        <v>5</v>
      </c>
      <c r="G18">
        <v>7.8</v>
      </c>
      <c r="L18" t="s">
        <v>29</v>
      </c>
      <c r="M18">
        <v>0</v>
      </c>
      <c r="N18" t="s">
        <v>22</v>
      </c>
      <c r="O18">
        <v>4</v>
      </c>
      <c r="P18" t="s">
        <v>22</v>
      </c>
    </row>
    <row r="19" spans="1:24" x14ac:dyDescent="0.35">
      <c r="A19">
        <v>18</v>
      </c>
      <c r="B19">
        <v>-3027.6045829270001</v>
      </c>
      <c r="C19">
        <v>14272.395417072899</v>
      </c>
      <c r="D19">
        <v>0.19615384615384601</v>
      </c>
      <c r="E19">
        <v>84</v>
      </c>
      <c r="F19">
        <v>6</v>
      </c>
      <c r="G19">
        <v>10.6666666666666</v>
      </c>
      <c r="L19" t="s">
        <v>30</v>
      </c>
      <c r="M19">
        <v>4</v>
      </c>
      <c r="N19" t="s">
        <v>22</v>
      </c>
      <c r="O19">
        <v>5</v>
      </c>
      <c r="P19">
        <v>4</v>
      </c>
      <c r="Q19">
        <v>1</v>
      </c>
      <c r="R19">
        <v>5</v>
      </c>
      <c r="S19">
        <v>3</v>
      </c>
      <c r="T19" t="s">
        <v>22</v>
      </c>
      <c r="U19">
        <v>2</v>
      </c>
      <c r="V19">
        <v>30</v>
      </c>
      <c r="W19">
        <v>30</v>
      </c>
      <c r="X19">
        <v>30</v>
      </c>
    </row>
    <row r="20" spans="1:24" x14ac:dyDescent="0.35">
      <c r="A20">
        <v>19</v>
      </c>
      <c r="B20">
        <v>8719.5709297543708</v>
      </c>
      <c r="C20">
        <v>24159.5709297543</v>
      </c>
      <c r="D20">
        <v>0.17564102564102499</v>
      </c>
      <c r="E20">
        <v>141</v>
      </c>
      <c r="F20">
        <v>9</v>
      </c>
      <c r="G20">
        <v>5.6666666666666599</v>
      </c>
      <c r="L20" t="s">
        <v>31</v>
      </c>
      <c r="M20">
        <v>2</v>
      </c>
      <c r="N20" t="s">
        <v>22</v>
      </c>
      <c r="O20">
        <v>5</v>
      </c>
      <c r="P20">
        <v>1</v>
      </c>
      <c r="Q20">
        <v>3</v>
      </c>
      <c r="R20" t="s">
        <v>22</v>
      </c>
      <c r="S20">
        <v>2</v>
      </c>
      <c r="T20">
        <v>30</v>
      </c>
    </row>
    <row r="21" spans="1:24" x14ac:dyDescent="0.35">
      <c r="A21">
        <v>20</v>
      </c>
      <c r="B21">
        <v>-1303.47116060497</v>
      </c>
      <c r="C21">
        <v>14836.528839395</v>
      </c>
      <c r="D21">
        <v>0.15608974358974301</v>
      </c>
      <c r="E21">
        <v>124</v>
      </c>
      <c r="F21">
        <v>5</v>
      </c>
      <c r="G21">
        <v>7.4</v>
      </c>
      <c r="L21" t="s">
        <v>32</v>
      </c>
      <c r="M21">
        <v>3</v>
      </c>
      <c r="N21" t="s">
        <v>22</v>
      </c>
      <c r="O21">
        <v>6</v>
      </c>
      <c r="P21">
        <v>3</v>
      </c>
      <c r="Q21">
        <v>6</v>
      </c>
      <c r="R21">
        <v>5</v>
      </c>
      <c r="S21" t="s">
        <v>22</v>
      </c>
      <c r="T21">
        <v>0</v>
      </c>
      <c r="U21">
        <v>30</v>
      </c>
      <c r="V21">
        <v>30</v>
      </c>
    </row>
    <row r="22" spans="1:24" x14ac:dyDescent="0.35">
      <c r="L22" t="s">
        <v>33</v>
      </c>
      <c r="M22">
        <v>4</v>
      </c>
      <c r="N22" t="s">
        <v>22</v>
      </c>
      <c r="O22">
        <v>6</v>
      </c>
      <c r="P22">
        <v>5</v>
      </c>
      <c r="Q22">
        <v>4</v>
      </c>
      <c r="R22">
        <v>1</v>
      </c>
      <c r="S22">
        <v>5</v>
      </c>
      <c r="T22" t="s">
        <v>22</v>
      </c>
      <c r="U22">
        <v>30</v>
      </c>
      <c r="V22">
        <v>30</v>
      </c>
      <c r="W22">
        <v>30</v>
      </c>
      <c r="X22">
        <v>30</v>
      </c>
    </row>
    <row r="23" spans="1:24" x14ac:dyDescent="0.35">
      <c r="A23" t="s">
        <v>92</v>
      </c>
      <c r="B23">
        <f>AVERAGE(B2:B21)</f>
        <v>1728.541979410428</v>
      </c>
      <c r="C23">
        <f t="shared" ref="C23:G23" si="0">AVERAGE(C2:C21)</f>
        <v>18244.541979410384</v>
      </c>
      <c r="D23">
        <f t="shared" si="0"/>
        <v>0.17748766915954367</v>
      </c>
      <c r="E23">
        <f t="shared" si="0"/>
        <v>126.4</v>
      </c>
      <c r="F23">
        <f t="shared" si="0"/>
        <v>6.6</v>
      </c>
      <c r="G23">
        <f t="shared" si="0"/>
        <v>5.8249999999999922</v>
      </c>
      <c r="L23" t="s">
        <v>34</v>
      </c>
      <c r="M23">
        <v>0</v>
      </c>
      <c r="N23" t="s">
        <v>22</v>
      </c>
      <c r="O23">
        <v>7</v>
      </c>
      <c r="P23" t="s">
        <v>22</v>
      </c>
    </row>
    <row r="24" spans="1:24" x14ac:dyDescent="0.35">
      <c r="A24" t="s">
        <v>93</v>
      </c>
      <c r="B24">
        <f>_xlfn.STDEV.S(B2:B21)</f>
        <v>3718.0248459342738</v>
      </c>
      <c r="C24">
        <f t="shared" ref="C24:G24" si="1">_xlfn.STDEV.S(C2:C21)</f>
        <v>3744.0774689761747</v>
      </c>
      <c r="D24">
        <f t="shared" si="1"/>
        <v>4.9536465746461006E-2</v>
      </c>
      <c r="E24">
        <f t="shared" si="1"/>
        <v>93.489881242500473</v>
      </c>
      <c r="F24">
        <f t="shared" si="1"/>
        <v>2.4148662379867791</v>
      </c>
      <c r="G24">
        <f t="shared" si="1"/>
        <v>3.3433992752063317</v>
      </c>
      <c r="L24" t="s">
        <v>35</v>
      </c>
      <c r="M24">
        <v>0</v>
      </c>
      <c r="N24" t="s">
        <v>22</v>
      </c>
      <c r="O24">
        <v>7</v>
      </c>
      <c r="P24" t="s">
        <v>22</v>
      </c>
    </row>
    <row r="25" spans="1:24" x14ac:dyDescent="0.35">
      <c r="L25" t="s">
        <v>36</v>
      </c>
      <c r="M25">
        <v>0</v>
      </c>
      <c r="N25" t="s">
        <v>22</v>
      </c>
      <c r="O25">
        <v>8</v>
      </c>
      <c r="P25" t="s">
        <v>22</v>
      </c>
    </row>
    <row r="26" spans="1:24" x14ac:dyDescent="0.35">
      <c r="L26" t="s">
        <v>37</v>
      </c>
      <c r="M26">
        <v>0</v>
      </c>
      <c r="N26" t="s">
        <v>22</v>
      </c>
      <c r="O26">
        <v>8</v>
      </c>
      <c r="P26" t="s">
        <v>22</v>
      </c>
    </row>
    <row r="27" spans="1:24" x14ac:dyDescent="0.35">
      <c r="L27" t="s">
        <v>38</v>
      </c>
      <c r="M27">
        <v>0</v>
      </c>
      <c r="N27" t="s">
        <v>22</v>
      </c>
      <c r="O27">
        <v>9</v>
      </c>
      <c r="P27" t="s">
        <v>22</v>
      </c>
    </row>
    <row r="28" spans="1:24" x14ac:dyDescent="0.35">
      <c r="L28" t="s">
        <v>39</v>
      </c>
      <c r="M28">
        <v>0</v>
      </c>
      <c r="N28" t="s">
        <v>22</v>
      </c>
      <c r="O28">
        <v>9</v>
      </c>
      <c r="P28" t="s">
        <v>22</v>
      </c>
    </row>
    <row r="29" spans="1:24" x14ac:dyDescent="0.35">
      <c r="L29" t="s">
        <v>40</v>
      </c>
      <c r="M29">
        <v>0</v>
      </c>
      <c r="N29" t="s">
        <v>22</v>
      </c>
      <c r="O29">
        <v>10</v>
      </c>
      <c r="P29" t="s">
        <v>22</v>
      </c>
    </row>
    <row r="30" spans="1:24" x14ac:dyDescent="0.35">
      <c r="L30" t="s">
        <v>41</v>
      </c>
      <c r="M30">
        <v>0</v>
      </c>
      <c r="N30" t="s">
        <v>22</v>
      </c>
      <c r="O30">
        <v>10</v>
      </c>
      <c r="P30" t="s">
        <v>22</v>
      </c>
    </row>
    <row r="31" spans="1:24" x14ac:dyDescent="0.35">
      <c r="L31" t="s">
        <v>42</v>
      </c>
      <c r="M31" t="s">
        <v>43</v>
      </c>
    </row>
    <row r="32" spans="1:24" x14ac:dyDescent="0.35">
      <c r="L32" t="s">
        <v>8</v>
      </c>
    </row>
    <row r="33" spans="12:28" x14ac:dyDescent="0.35">
      <c r="L33" t="s">
        <v>44</v>
      </c>
      <c r="M33">
        <v>4</v>
      </c>
      <c r="N33" t="s">
        <v>22</v>
      </c>
      <c r="O33" t="s">
        <v>45</v>
      </c>
      <c r="P33">
        <v>9</v>
      </c>
      <c r="Q33" t="s">
        <v>22</v>
      </c>
      <c r="R33" t="s">
        <v>46</v>
      </c>
      <c r="S33" t="s">
        <v>50</v>
      </c>
      <c r="T33" t="s">
        <v>22</v>
      </c>
      <c r="U33">
        <v>4</v>
      </c>
      <c r="V33" t="s">
        <v>48</v>
      </c>
      <c r="W33">
        <v>1</v>
      </c>
      <c r="X33" t="s">
        <v>22</v>
      </c>
      <c r="Y33" t="s">
        <v>49</v>
      </c>
      <c r="Z33" t="s">
        <v>22</v>
      </c>
      <c r="AA33" t="s">
        <v>148</v>
      </c>
    </row>
    <row r="34" spans="12:28" x14ac:dyDescent="0.35">
      <c r="L34" t="s">
        <v>44</v>
      </c>
      <c r="M34">
        <v>35</v>
      </c>
      <c r="N34" t="s">
        <v>22</v>
      </c>
      <c r="O34" t="s">
        <v>45</v>
      </c>
      <c r="P34">
        <v>2</v>
      </c>
      <c r="Q34" t="s">
        <v>22</v>
      </c>
      <c r="R34" t="s">
        <v>46</v>
      </c>
      <c r="S34" t="s">
        <v>47</v>
      </c>
      <c r="T34" t="s">
        <v>22</v>
      </c>
      <c r="U34">
        <v>1</v>
      </c>
      <c r="V34" t="s">
        <v>48</v>
      </c>
      <c r="W34">
        <v>4</v>
      </c>
      <c r="X34" t="s">
        <v>22</v>
      </c>
      <c r="Y34" t="s">
        <v>49</v>
      </c>
      <c r="Z34" t="s">
        <v>22</v>
      </c>
      <c r="AA34" t="s">
        <v>149</v>
      </c>
    </row>
    <row r="35" spans="12:28" x14ac:dyDescent="0.35">
      <c r="L35" t="s">
        <v>44</v>
      </c>
      <c r="M35">
        <v>10</v>
      </c>
      <c r="N35" t="s">
        <v>22</v>
      </c>
      <c r="O35" t="s">
        <v>45</v>
      </c>
      <c r="P35">
        <v>7</v>
      </c>
      <c r="Q35" t="s">
        <v>22</v>
      </c>
      <c r="R35" t="s">
        <v>46</v>
      </c>
      <c r="S35" t="s">
        <v>50</v>
      </c>
      <c r="T35" t="s">
        <v>22</v>
      </c>
      <c r="U35">
        <v>9</v>
      </c>
      <c r="V35" t="s">
        <v>48</v>
      </c>
      <c r="W35">
        <v>3</v>
      </c>
      <c r="X35" t="s">
        <v>22</v>
      </c>
      <c r="Y35" t="s">
        <v>49</v>
      </c>
      <c r="Z35" t="s">
        <v>22</v>
      </c>
      <c r="AA35" t="s">
        <v>150</v>
      </c>
    </row>
    <row r="36" spans="12:28" x14ac:dyDescent="0.35">
      <c r="L36" t="s">
        <v>44</v>
      </c>
      <c r="M36">
        <v>20</v>
      </c>
      <c r="N36" t="s">
        <v>22</v>
      </c>
      <c r="O36" t="s">
        <v>45</v>
      </c>
      <c r="P36">
        <v>1</v>
      </c>
      <c r="Q36" t="s">
        <v>22</v>
      </c>
      <c r="R36" t="s">
        <v>46</v>
      </c>
      <c r="S36" t="s">
        <v>151</v>
      </c>
      <c r="T36" t="s">
        <v>152</v>
      </c>
      <c r="U36" t="s">
        <v>22</v>
      </c>
      <c r="V36">
        <v>7</v>
      </c>
      <c r="W36" t="s">
        <v>48</v>
      </c>
      <c r="X36">
        <v>1</v>
      </c>
      <c r="Y36" t="s">
        <v>22</v>
      </c>
      <c r="Z36" t="s">
        <v>49</v>
      </c>
      <c r="AA36" t="s">
        <v>22</v>
      </c>
      <c r="AB36" t="s">
        <v>143</v>
      </c>
    </row>
    <row r="37" spans="12:28" x14ac:dyDescent="0.35">
      <c r="L37" t="s">
        <v>44</v>
      </c>
      <c r="M37">
        <v>18</v>
      </c>
      <c r="N37" t="s">
        <v>22</v>
      </c>
      <c r="O37" t="s">
        <v>45</v>
      </c>
      <c r="P37">
        <v>12</v>
      </c>
      <c r="Q37" t="s">
        <v>22</v>
      </c>
      <c r="R37" t="s">
        <v>46</v>
      </c>
      <c r="S37" t="s">
        <v>73</v>
      </c>
      <c r="T37" t="s">
        <v>22</v>
      </c>
      <c r="U37">
        <v>4</v>
      </c>
      <c r="V37" t="s">
        <v>48</v>
      </c>
      <c r="W37">
        <v>1</v>
      </c>
      <c r="X37" t="s">
        <v>22</v>
      </c>
      <c r="Y37" t="s">
        <v>49</v>
      </c>
      <c r="Z37" t="s">
        <v>22</v>
      </c>
      <c r="AA37" t="s">
        <v>153</v>
      </c>
    </row>
    <row r="38" spans="12:28" x14ac:dyDescent="0.35">
      <c r="L38" t="s">
        <v>44</v>
      </c>
      <c r="M38">
        <v>41</v>
      </c>
      <c r="N38" t="s">
        <v>22</v>
      </c>
      <c r="O38" t="s">
        <v>45</v>
      </c>
      <c r="P38">
        <v>2</v>
      </c>
      <c r="Q38" t="s">
        <v>22</v>
      </c>
      <c r="R38" t="s">
        <v>46</v>
      </c>
      <c r="S38" t="s">
        <v>50</v>
      </c>
      <c r="T38" t="s">
        <v>22</v>
      </c>
      <c r="U38">
        <v>4</v>
      </c>
      <c r="V38" t="s">
        <v>48</v>
      </c>
      <c r="W38">
        <v>10</v>
      </c>
      <c r="X38" t="s">
        <v>22</v>
      </c>
      <c r="Y38" t="s">
        <v>53</v>
      </c>
      <c r="Z38" t="s">
        <v>22</v>
      </c>
      <c r="AA38" t="s">
        <v>154</v>
      </c>
    </row>
    <row r="39" spans="12:28" x14ac:dyDescent="0.35">
      <c r="L39" t="s">
        <v>44</v>
      </c>
      <c r="M39">
        <v>29</v>
      </c>
      <c r="N39" t="s">
        <v>22</v>
      </c>
      <c r="O39" t="s">
        <v>45</v>
      </c>
      <c r="P39">
        <v>6</v>
      </c>
      <c r="Q39" t="s">
        <v>22</v>
      </c>
      <c r="R39" t="s">
        <v>46</v>
      </c>
      <c r="S39" t="s">
        <v>75</v>
      </c>
      <c r="T39" t="s">
        <v>22</v>
      </c>
      <c r="U39">
        <v>10</v>
      </c>
      <c r="V39" t="s">
        <v>48</v>
      </c>
      <c r="W39">
        <v>3</v>
      </c>
      <c r="X39" t="s">
        <v>22</v>
      </c>
      <c r="Y39" t="s">
        <v>49</v>
      </c>
      <c r="Z39" t="s">
        <v>22</v>
      </c>
      <c r="AA39" t="s">
        <v>155</v>
      </c>
    </row>
    <row r="40" spans="12:28" x14ac:dyDescent="0.35">
      <c r="L40" t="s">
        <v>44</v>
      </c>
      <c r="M40">
        <v>6</v>
      </c>
      <c r="N40" t="s">
        <v>22</v>
      </c>
      <c r="O40" t="s">
        <v>45</v>
      </c>
      <c r="P40">
        <v>6</v>
      </c>
      <c r="Q40" t="s">
        <v>22</v>
      </c>
      <c r="R40" t="s">
        <v>46</v>
      </c>
      <c r="S40" t="s">
        <v>47</v>
      </c>
      <c r="T40" t="s">
        <v>22</v>
      </c>
      <c r="U40">
        <v>3</v>
      </c>
      <c r="V40" t="s">
        <v>48</v>
      </c>
      <c r="W40">
        <v>5</v>
      </c>
      <c r="X40" t="s">
        <v>22</v>
      </c>
      <c r="Y40" t="s">
        <v>49</v>
      </c>
      <c r="Z40" t="s">
        <v>22</v>
      </c>
      <c r="AA40" t="s">
        <v>156</v>
      </c>
    </row>
    <row r="41" spans="12:28" x14ac:dyDescent="0.35">
      <c r="L41" t="s">
        <v>44</v>
      </c>
      <c r="M41">
        <v>3</v>
      </c>
      <c r="N41" t="s">
        <v>22</v>
      </c>
      <c r="O41" t="s">
        <v>45</v>
      </c>
      <c r="P41">
        <v>10</v>
      </c>
      <c r="Q41" t="s">
        <v>22</v>
      </c>
      <c r="R41" t="s">
        <v>46</v>
      </c>
      <c r="S41" t="s">
        <v>50</v>
      </c>
      <c r="T41" t="s">
        <v>22</v>
      </c>
      <c r="U41">
        <v>1</v>
      </c>
      <c r="V41" t="s">
        <v>48</v>
      </c>
      <c r="W41">
        <v>3</v>
      </c>
      <c r="X41" t="s">
        <v>22</v>
      </c>
      <c r="Y41" t="s">
        <v>51</v>
      </c>
      <c r="Z41" t="s">
        <v>22</v>
      </c>
      <c r="AA41" t="s">
        <v>148</v>
      </c>
    </row>
    <row r="42" spans="12:28" x14ac:dyDescent="0.35">
      <c r="L42" t="s">
        <v>44</v>
      </c>
      <c r="M42">
        <v>11</v>
      </c>
      <c r="N42" t="s">
        <v>22</v>
      </c>
      <c r="O42" t="s">
        <v>45</v>
      </c>
      <c r="P42">
        <v>9</v>
      </c>
      <c r="Q42" t="s">
        <v>22</v>
      </c>
      <c r="R42" t="s">
        <v>46</v>
      </c>
      <c r="S42" t="s">
        <v>151</v>
      </c>
      <c r="T42" t="s">
        <v>152</v>
      </c>
      <c r="U42" t="s">
        <v>22</v>
      </c>
      <c r="V42">
        <v>1</v>
      </c>
      <c r="W42" t="s">
        <v>48</v>
      </c>
      <c r="X42">
        <v>3</v>
      </c>
      <c r="Y42" t="s">
        <v>22</v>
      </c>
      <c r="Z42" t="s">
        <v>51</v>
      </c>
      <c r="AA42" t="s">
        <v>22</v>
      </c>
      <c r="AB42" t="s">
        <v>157</v>
      </c>
    </row>
    <row r="43" spans="12:28" x14ac:dyDescent="0.35">
      <c r="L43" t="s">
        <v>9</v>
      </c>
    </row>
    <row r="44" spans="12:28" x14ac:dyDescent="0.35">
      <c r="L44" t="s">
        <v>10</v>
      </c>
    </row>
    <row r="46" spans="12:28" x14ac:dyDescent="0.35">
      <c r="L46" t="s">
        <v>54</v>
      </c>
      <c r="M46">
        <v>1</v>
      </c>
    </row>
    <row r="47" spans="12:28" x14ac:dyDescent="0.35">
      <c r="L47" t="s">
        <v>11</v>
      </c>
    </row>
    <row r="48" spans="12:28" x14ac:dyDescent="0.35">
      <c r="L48" t="s">
        <v>55</v>
      </c>
      <c r="M48" t="s">
        <v>56</v>
      </c>
      <c r="N48" t="s">
        <v>57</v>
      </c>
      <c r="O48" t="s">
        <v>58</v>
      </c>
      <c r="P48" t="s">
        <v>59</v>
      </c>
      <c r="Q48" t="s">
        <v>60</v>
      </c>
      <c r="R48" t="s">
        <v>61</v>
      </c>
    </row>
    <row r="49" spans="12:18" x14ac:dyDescent="0.35">
      <c r="L49" t="s">
        <v>11</v>
      </c>
    </row>
    <row r="50" spans="12:18" x14ac:dyDescent="0.35">
      <c r="L50">
        <v>1</v>
      </c>
      <c r="M50">
        <v>1</v>
      </c>
      <c r="N50">
        <v>4</v>
      </c>
      <c r="O50">
        <v>30</v>
      </c>
      <c r="P50">
        <v>60</v>
      </c>
      <c r="Q50">
        <v>30</v>
      </c>
      <c r="R50">
        <v>4</v>
      </c>
    </row>
    <row r="51" spans="12:18" x14ac:dyDescent="0.35">
      <c r="L51">
        <v>2</v>
      </c>
      <c r="M51">
        <v>4</v>
      </c>
      <c r="N51">
        <v>7</v>
      </c>
      <c r="O51">
        <v>90</v>
      </c>
      <c r="P51">
        <v>108</v>
      </c>
      <c r="Q51">
        <v>18</v>
      </c>
      <c r="R51">
        <v>4</v>
      </c>
    </row>
    <row r="52" spans="12:18" x14ac:dyDescent="0.35">
      <c r="L52">
        <v>3</v>
      </c>
      <c r="M52">
        <v>7</v>
      </c>
      <c r="N52">
        <v>4</v>
      </c>
      <c r="O52">
        <v>138</v>
      </c>
      <c r="P52">
        <v>156</v>
      </c>
      <c r="Q52">
        <v>18</v>
      </c>
      <c r="R52">
        <v>0</v>
      </c>
    </row>
    <row r="53" spans="12:18" x14ac:dyDescent="0.35">
      <c r="L53">
        <v>4</v>
      </c>
      <c r="M53">
        <v>4</v>
      </c>
      <c r="N53">
        <v>1</v>
      </c>
      <c r="O53">
        <v>186</v>
      </c>
      <c r="P53">
        <v>216</v>
      </c>
      <c r="Q53">
        <v>30</v>
      </c>
      <c r="R53">
        <v>0</v>
      </c>
    </row>
    <row r="55" spans="12:18" x14ac:dyDescent="0.35">
      <c r="L55" t="s">
        <v>54</v>
      </c>
      <c r="M55">
        <v>2</v>
      </c>
    </row>
    <row r="56" spans="12:18" x14ac:dyDescent="0.35">
      <c r="L56" t="s">
        <v>11</v>
      </c>
    </row>
    <row r="57" spans="12:18" x14ac:dyDescent="0.35">
      <c r="L57" t="s">
        <v>55</v>
      </c>
      <c r="M57" t="s">
        <v>56</v>
      </c>
      <c r="N57" t="s">
        <v>57</v>
      </c>
      <c r="O57" t="s">
        <v>58</v>
      </c>
      <c r="P57" t="s">
        <v>59</v>
      </c>
      <c r="Q57" t="s">
        <v>60</v>
      </c>
      <c r="R57" t="s">
        <v>61</v>
      </c>
    </row>
    <row r="58" spans="12:18" x14ac:dyDescent="0.35">
      <c r="L58" t="s">
        <v>11</v>
      </c>
    </row>
    <row r="59" spans="12:18" x14ac:dyDescent="0.35">
      <c r="L59">
        <v>1</v>
      </c>
      <c r="M59">
        <v>1</v>
      </c>
      <c r="N59">
        <v>4</v>
      </c>
      <c r="O59">
        <v>439</v>
      </c>
      <c r="P59">
        <v>469</v>
      </c>
      <c r="Q59">
        <v>30</v>
      </c>
      <c r="R59">
        <v>0</v>
      </c>
    </row>
    <row r="60" spans="12:18" x14ac:dyDescent="0.35">
      <c r="L60">
        <v>2</v>
      </c>
      <c r="M60">
        <v>4</v>
      </c>
      <c r="N60">
        <v>10</v>
      </c>
      <c r="O60">
        <v>500</v>
      </c>
      <c r="P60">
        <v>525</v>
      </c>
      <c r="Q60">
        <v>25</v>
      </c>
      <c r="R60">
        <v>0</v>
      </c>
    </row>
    <row r="61" spans="12:18" x14ac:dyDescent="0.35">
      <c r="L61">
        <v>3</v>
      </c>
      <c r="M61">
        <v>10</v>
      </c>
      <c r="N61">
        <v>1</v>
      </c>
      <c r="O61">
        <v>555</v>
      </c>
      <c r="P61">
        <v>565</v>
      </c>
      <c r="Q61">
        <v>10</v>
      </c>
      <c r="R61">
        <v>4</v>
      </c>
    </row>
    <row r="63" spans="12:18" x14ac:dyDescent="0.35">
      <c r="L63" t="s">
        <v>54</v>
      </c>
      <c r="M63">
        <v>6</v>
      </c>
    </row>
    <row r="64" spans="12:18" x14ac:dyDescent="0.35">
      <c r="L64" t="s">
        <v>11</v>
      </c>
    </row>
    <row r="65" spans="12:18" x14ac:dyDescent="0.35">
      <c r="L65" t="s">
        <v>55</v>
      </c>
      <c r="M65" t="s">
        <v>56</v>
      </c>
      <c r="N65" t="s">
        <v>57</v>
      </c>
      <c r="O65" t="s">
        <v>58</v>
      </c>
      <c r="P65" t="s">
        <v>59</v>
      </c>
      <c r="Q65" t="s">
        <v>60</v>
      </c>
      <c r="R65" t="s">
        <v>61</v>
      </c>
    </row>
    <row r="66" spans="12:18" x14ac:dyDescent="0.35">
      <c r="L66" t="s">
        <v>11</v>
      </c>
    </row>
    <row r="67" spans="12:18" x14ac:dyDescent="0.35">
      <c r="L67">
        <v>1</v>
      </c>
      <c r="M67">
        <v>3</v>
      </c>
      <c r="N67">
        <v>5</v>
      </c>
      <c r="O67">
        <v>54</v>
      </c>
      <c r="P67">
        <v>67</v>
      </c>
      <c r="Q67">
        <v>13</v>
      </c>
      <c r="R67">
        <v>0</v>
      </c>
    </row>
    <row r="68" spans="12:18" x14ac:dyDescent="0.35">
      <c r="L68">
        <v>2</v>
      </c>
      <c r="M68">
        <v>5</v>
      </c>
      <c r="N68">
        <v>3</v>
      </c>
      <c r="O68">
        <v>97</v>
      </c>
      <c r="P68">
        <v>110</v>
      </c>
      <c r="Q68">
        <v>13</v>
      </c>
      <c r="R68">
        <v>4</v>
      </c>
    </row>
    <row r="69" spans="12:18" x14ac:dyDescent="0.35">
      <c r="L69">
        <v>3</v>
      </c>
      <c r="M69">
        <v>3</v>
      </c>
      <c r="N69">
        <v>10</v>
      </c>
      <c r="O69">
        <v>140</v>
      </c>
      <c r="P69">
        <v>159</v>
      </c>
      <c r="Q69">
        <v>19</v>
      </c>
      <c r="R69">
        <v>4</v>
      </c>
    </row>
    <row r="70" spans="12:18" x14ac:dyDescent="0.35">
      <c r="L70">
        <v>4</v>
      </c>
      <c r="M70">
        <v>10</v>
      </c>
      <c r="N70">
        <v>3</v>
      </c>
      <c r="O70">
        <v>189</v>
      </c>
      <c r="P70">
        <v>208</v>
      </c>
      <c r="Q70">
        <v>19</v>
      </c>
      <c r="R70">
        <v>0</v>
      </c>
    </row>
    <row r="72" spans="12:18" x14ac:dyDescent="0.35">
      <c r="L72" t="s">
        <v>54</v>
      </c>
      <c r="M72">
        <v>7</v>
      </c>
    </row>
    <row r="73" spans="12:18" x14ac:dyDescent="0.35">
      <c r="L73" t="s">
        <v>11</v>
      </c>
    </row>
    <row r="74" spans="12:18" x14ac:dyDescent="0.35">
      <c r="L74" t="s">
        <v>55</v>
      </c>
      <c r="M74" t="s">
        <v>56</v>
      </c>
      <c r="N74" t="s">
        <v>57</v>
      </c>
      <c r="O74" t="s">
        <v>58</v>
      </c>
      <c r="P74" t="s">
        <v>59</v>
      </c>
      <c r="Q74" t="s">
        <v>60</v>
      </c>
      <c r="R74" t="s">
        <v>61</v>
      </c>
    </row>
    <row r="75" spans="12:18" x14ac:dyDescent="0.35">
      <c r="L75" t="s">
        <v>11</v>
      </c>
    </row>
    <row r="76" spans="12:18" x14ac:dyDescent="0.35">
      <c r="L76">
        <v>1</v>
      </c>
      <c r="M76">
        <v>4</v>
      </c>
      <c r="N76">
        <v>9</v>
      </c>
      <c r="O76">
        <v>30</v>
      </c>
      <c r="P76">
        <v>45</v>
      </c>
      <c r="Q76">
        <v>15</v>
      </c>
      <c r="R76">
        <v>4</v>
      </c>
    </row>
    <row r="77" spans="12:18" x14ac:dyDescent="0.35">
      <c r="L77">
        <v>2</v>
      </c>
      <c r="M77">
        <v>9</v>
      </c>
      <c r="N77">
        <v>3</v>
      </c>
      <c r="O77">
        <v>93</v>
      </c>
      <c r="P77">
        <v>121</v>
      </c>
      <c r="Q77">
        <v>28</v>
      </c>
      <c r="R77">
        <v>0</v>
      </c>
    </row>
    <row r="78" spans="12:18" x14ac:dyDescent="0.35">
      <c r="L78">
        <v>3</v>
      </c>
      <c r="M78">
        <v>3</v>
      </c>
      <c r="N78">
        <v>9</v>
      </c>
      <c r="O78">
        <v>734</v>
      </c>
      <c r="P78">
        <v>762</v>
      </c>
      <c r="Q78">
        <v>28</v>
      </c>
      <c r="R78">
        <v>4</v>
      </c>
    </row>
    <row r="80" spans="12:18" x14ac:dyDescent="0.35">
      <c r="L80" t="s">
        <v>54</v>
      </c>
      <c r="M80">
        <v>9</v>
      </c>
    </row>
    <row r="81" spans="12:18" x14ac:dyDescent="0.35">
      <c r="L81" t="s">
        <v>11</v>
      </c>
    </row>
    <row r="82" spans="12:18" x14ac:dyDescent="0.35">
      <c r="L82" t="s">
        <v>55</v>
      </c>
      <c r="M82" t="s">
        <v>56</v>
      </c>
      <c r="N82" t="s">
        <v>57</v>
      </c>
      <c r="O82" t="s">
        <v>58</v>
      </c>
      <c r="P82" t="s">
        <v>59</v>
      </c>
      <c r="Q82" t="s">
        <v>60</v>
      </c>
      <c r="R82" t="s">
        <v>61</v>
      </c>
    </row>
    <row r="83" spans="12:18" x14ac:dyDescent="0.35">
      <c r="L83" t="s">
        <v>11</v>
      </c>
    </row>
    <row r="84" spans="12:18" x14ac:dyDescent="0.35">
      <c r="L84">
        <v>1</v>
      </c>
      <c r="M84">
        <v>5</v>
      </c>
      <c r="N84">
        <v>4</v>
      </c>
      <c r="O84">
        <v>2</v>
      </c>
      <c r="P84">
        <v>21</v>
      </c>
      <c r="Q84">
        <v>19</v>
      </c>
      <c r="R84">
        <v>4</v>
      </c>
    </row>
    <row r="85" spans="12:18" x14ac:dyDescent="0.35">
      <c r="L85">
        <v>2</v>
      </c>
      <c r="M85">
        <v>4</v>
      </c>
      <c r="N85">
        <v>1</v>
      </c>
      <c r="O85">
        <v>51</v>
      </c>
      <c r="P85">
        <v>81</v>
      </c>
      <c r="Q85">
        <v>30</v>
      </c>
      <c r="R85">
        <v>0</v>
      </c>
    </row>
    <row r="86" spans="12:18" x14ac:dyDescent="0.35">
      <c r="L86">
        <v>3</v>
      </c>
      <c r="M86">
        <v>1</v>
      </c>
      <c r="N86">
        <v>5</v>
      </c>
      <c r="O86">
        <v>111</v>
      </c>
      <c r="P86">
        <v>141</v>
      </c>
      <c r="Q86">
        <v>30</v>
      </c>
      <c r="R86">
        <v>1</v>
      </c>
    </row>
    <row r="87" spans="12:18" x14ac:dyDescent="0.35">
      <c r="L87">
        <v>4</v>
      </c>
      <c r="M87">
        <v>5</v>
      </c>
      <c r="N87">
        <v>3</v>
      </c>
      <c r="O87">
        <v>171</v>
      </c>
      <c r="P87">
        <v>184</v>
      </c>
      <c r="Q87">
        <v>13</v>
      </c>
      <c r="R87">
        <v>1</v>
      </c>
    </row>
    <row r="89" spans="12:18" x14ac:dyDescent="0.35">
      <c r="L89" t="s">
        <v>54</v>
      </c>
      <c r="M89">
        <v>10</v>
      </c>
    </row>
    <row r="90" spans="12:18" x14ac:dyDescent="0.35">
      <c r="L90" t="s">
        <v>11</v>
      </c>
    </row>
    <row r="91" spans="12:18" x14ac:dyDescent="0.35">
      <c r="L91" t="s">
        <v>55</v>
      </c>
      <c r="M91" t="s">
        <v>56</v>
      </c>
      <c r="N91" t="s">
        <v>57</v>
      </c>
      <c r="O91" t="s">
        <v>58</v>
      </c>
      <c r="P91" t="s">
        <v>59</v>
      </c>
      <c r="Q91" t="s">
        <v>60</v>
      </c>
      <c r="R91" t="s">
        <v>61</v>
      </c>
    </row>
    <row r="92" spans="12:18" x14ac:dyDescent="0.35">
      <c r="L92" t="s">
        <v>11</v>
      </c>
    </row>
    <row r="93" spans="12:18" x14ac:dyDescent="0.35">
      <c r="L93">
        <v>1</v>
      </c>
      <c r="M93">
        <v>5</v>
      </c>
      <c r="N93">
        <v>1</v>
      </c>
      <c r="O93">
        <v>2</v>
      </c>
      <c r="P93">
        <v>32</v>
      </c>
      <c r="Q93">
        <v>30</v>
      </c>
      <c r="R93">
        <v>4</v>
      </c>
    </row>
    <row r="94" spans="12:18" x14ac:dyDescent="0.35">
      <c r="L94">
        <v>2</v>
      </c>
      <c r="M94">
        <v>1</v>
      </c>
      <c r="N94">
        <v>3</v>
      </c>
      <c r="O94">
        <v>62</v>
      </c>
      <c r="P94">
        <v>80</v>
      </c>
      <c r="Q94">
        <v>18</v>
      </c>
      <c r="R94">
        <v>0</v>
      </c>
    </row>
    <row r="96" spans="12:18" x14ac:dyDescent="0.35">
      <c r="L96" t="s">
        <v>54</v>
      </c>
      <c r="M96">
        <v>11</v>
      </c>
    </row>
    <row r="97" spans="12:18" x14ac:dyDescent="0.35">
      <c r="L97" t="s">
        <v>11</v>
      </c>
    </row>
    <row r="98" spans="12:18" x14ac:dyDescent="0.35">
      <c r="L98" t="s">
        <v>55</v>
      </c>
      <c r="M98" t="s">
        <v>56</v>
      </c>
      <c r="N98" t="s">
        <v>57</v>
      </c>
      <c r="O98" t="s">
        <v>58</v>
      </c>
      <c r="P98" t="s">
        <v>59</v>
      </c>
      <c r="Q98" t="s">
        <v>60</v>
      </c>
      <c r="R98" t="s">
        <v>61</v>
      </c>
    </row>
    <row r="99" spans="12:18" x14ac:dyDescent="0.35">
      <c r="L99" t="s">
        <v>11</v>
      </c>
    </row>
    <row r="100" spans="12:18" x14ac:dyDescent="0.35">
      <c r="L100">
        <v>1</v>
      </c>
      <c r="M100">
        <v>6</v>
      </c>
      <c r="N100">
        <v>3</v>
      </c>
      <c r="O100">
        <v>0</v>
      </c>
      <c r="P100">
        <v>26</v>
      </c>
      <c r="Q100">
        <v>26</v>
      </c>
      <c r="R100">
        <v>4</v>
      </c>
    </row>
    <row r="101" spans="12:18" x14ac:dyDescent="0.35">
      <c r="L101">
        <v>2</v>
      </c>
      <c r="M101">
        <v>3</v>
      </c>
      <c r="N101">
        <v>6</v>
      </c>
      <c r="O101">
        <v>56</v>
      </c>
      <c r="P101">
        <v>82</v>
      </c>
      <c r="Q101">
        <v>26</v>
      </c>
      <c r="R101">
        <v>4</v>
      </c>
    </row>
    <row r="102" spans="12:18" x14ac:dyDescent="0.35">
      <c r="L102">
        <v>3</v>
      </c>
      <c r="M102">
        <v>6</v>
      </c>
      <c r="N102">
        <v>5</v>
      </c>
      <c r="O102">
        <v>112</v>
      </c>
      <c r="P102">
        <v>126</v>
      </c>
      <c r="Q102">
        <v>14</v>
      </c>
      <c r="R102">
        <v>4</v>
      </c>
    </row>
    <row r="104" spans="12:18" x14ac:dyDescent="0.35">
      <c r="L104" t="s">
        <v>54</v>
      </c>
      <c r="M104">
        <v>12</v>
      </c>
    </row>
    <row r="105" spans="12:18" x14ac:dyDescent="0.35">
      <c r="L105" t="s">
        <v>11</v>
      </c>
    </row>
    <row r="106" spans="12:18" x14ac:dyDescent="0.35">
      <c r="L106" t="s">
        <v>55</v>
      </c>
      <c r="M106" t="s">
        <v>56</v>
      </c>
      <c r="N106" t="s">
        <v>57</v>
      </c>
      <c r="O106" t="s">
        <v>58</v>
      </c>
      <c r="P106" t="s">
        <v>59</v>
      </c>
      <c r="Q106" t="s">
        <v>60</v>
      </c>
      <c r="R106" t="s">
        <v>61</v>
      </c>
    </row>
    <row r="107" spans="12:18" x14ac:dyDescent="0.35">
      <c r="L107" t="s">
        <v>11</v>
      </c>
    </row>
    <row r="108" spans="12:18" x14ac:dyDescent="0.35">
      <c r="L108">
        <v>1</v>
      </c>
      <c r="M108">
        <v>6</v>
      </c>
      <c r="N108">
        <v>5</v>
      </c>
      <c r="O108">
        <v>30</v>
      </c>
      <c r="P108">
        <v>44</v>
      </c>
      <c r="Q108">
        <v>14</v>
      </c>
      <c r="R108">
        <v>4</v>
      </c>
    </row>
    <row r="109" spans="12:18" x14ac:dyDescent="0.35">
      <c r="L109">
        <v>2</v>
      </c>
      <c r="M109">
        <v>5</v>
      </c>
      <c r="N109">
        <v>4</v>
      </c>
      <c r="O109">
        <v>74</v>
      </c>
      <c r="P109">
        <v>93</v>
      </c>
      <c r="Q109">
        <v>19</v>
      </c>
      <c r="R109">
        <v>4</v>
      </c>
    </row>
    <row r="110" spans="12:18" x14ac:dyDescent="0.35">
      <c r="L110">
        <v>3</v>
      </c>
      <c r="M110">
        <v>4</v>
      </c>
      <c r="N110">
        <v>1</v>
      </c>
      <c r="O110">
        <v>123</v>
      </c>
      <c r="P110">
        <v>153</v>
      </c>
      <c r="Q110">
        <v>30</v>
      </c>
      <c r="R110">
        <v>0</v>
      </c>
    </row>
    <row r="111" spans="12:18" x14ac:dyDescent="0.35">
      <c r="L111">
        <v>4</v>
      </c>
      <c r="M111">
        <v>1</v>
      </c>
      <c r="N111">
        <v>5</v>
      </c>
      <c r="O111">
        <v>183</v>
      </c>
      <c r="P111">
        <v>213</v>
      </c>
      <c r="Q111">
        <v>30</v>
      </c>
      <c r="R111">
        <v>4</v>
      </c>
    </row>
    <row r="113" spans="12:14" x14ac:dyDescent="0.35">
      <c r="L113" t="s">
        <v>62</v>
      </c>
      <c r="M113" t="s">
        <v>63</v>
      </c>
      <c r="N113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21FC-D154-4160-9714-DCFF95C37B54}">
  <dimension ref="A1:AB120"/>
  <sheetViews>
    <sheetView tabSelected="1" topLeftCell="K99" workbookViewId="0">
      <selection activeCell="M4" sqref="M4:AB120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3" x14ac:dyDescent="0.35">
      <c r="A2">
        <v>1</v>
      </c>
      <c r="B2">
        <v>12981.9670605009</v>
      </c>
      <c r="C2">
        <v>30681.967060500901</v>
      </c>
      <c r="D2">
        <v>0.13525641025641</v>
      </c>
      <c r="E2">
        <v>57</v>
      </c>
      <c r="F2">
        <v>7</v>
      </c>
      <c r="G2">
        <v>10</v>
      </c>
    </row>
    <row r="3" spans="1:23" x14ac:dyDescent="0.35">
      <c r="A3">
        <v>2</v>
      </c>
      <c r="B3">
        <v>21109.382975284901</v>
      </c>
      <c r="C3">
        <v>38169.382975284898</v>
      </c>
      <c r="D3">
        <v>0.13611111111111099</v>
      </c>
      <c r="E3">
        <v>41</v>
      </c>
      <c r="F3">
        <v>7</v>
      </c>
      <c r="G3">
        <v>3.71428571428571</v>
      </c>
    </row>
    <row r="4" spans="1:23" x14ac:dyDescent="0.35">
      <c r="A4">
        <v>3</v>
      </c>
      <c r="B4">
        <v>7344.3014411704498</v>
      </c>
      <c r="C4">
        <v>22544.301441170399</v>
      </c>
      <c r="D4">
        <v>0.10534188034188</v>
      </c>
      <c r="E4">
        <v>54</v>
      </c>
      <c r="F4">
        <v>5</v>
      </c>
      <c r="G4">
        <v>9.1999999999999993</v>
      </c>
      <c r="M4" t="s">
        <v>12</v>
      </c>
      <c r="N4" t="s">
        <v>13</v>
      </c>
      <c r="O4" t="s">
        <v>14</v>
      </c>
      <c r="P4" t="s">
        <v>15</v>
      </c>
    </row>
    <row r="5" spans="1:23" x14ac:dyDescent="0.35">
      <c r="A5">
        <v>4</v>
      </c>
      <c r="B5">
        <v>19355.9238280348</v>
      </c>
      <c r="C5">
        <v>35055.9238280348</v>
      </c>
      <c r="D5">
        <v>0.13098290598290599</v>
      </c>
      <c r="E5">
        <v>41</v>
      </c>
      <c r="F5">
        <v>7</v>
      </c>
      <c r="G5">
        <v>7.8571428571428497</v>
      </c>
      <c r="M5" t="s">
        <v>16</v>
      </c>
      <c r="N5" t="s">
        <v>17</v>
      </c>
      <c r="O5">
        <v>28172.049065143099</v>
      </c>
    </row>
    <row r="6" spans="1:23" x14ac:dyDescent="0.35">
      <c r="A6">
        <v>5</v>
      </c>
      <c r="B6">
        <v>10584.8863415945</v>
      </c>
      <c r="C6">
        <v>26424.886341594502</v>
      </c>
      <c r="D6">
        <v>0.14366987179487101</v>
      </c>
      <c r="E6">
        <v>136</v>
      </c>
      <c r="F6">
        <v>9</v>
      </c>
      <c r="G6">
        <v>9.3333333333333304</v>
      </c>
      <c r="M6" t="s">
        <v>18</v>
      </c>
      <c r="N6" t="s">
        <v>17</v>
      </c>
      <c r="O6">
        <v>43672.049065143197</v>
      </c>
    </row>
    <row r="7" spans="1:23" x14ac:dyDescent="0.35">
      <c r="A7">
        <v>6</v>
      </c>
      <c r="B7">
        <v>28172.049065143099</v>
      </c>
      <c r="C7">
        <v>43672.049065143197</v>
      </c>
      <c r="D7">
        <v>0.105649038461538</v>
      </c>
      <c r="E7">
        <v>217</v>
      </c>
      <c r="F7">
        <v>14</v>
      </c>
      <c r="G7">
        <v>11.0714285714285</v>
      </c>
      <c r="M7" t="s">
        <v>19</v>
      </c>
      <c r="N7" t="s">
        <v>20</v>
      </c>
    </row>
    <row r="8" spans="1:23" x14ac:dyDescent="0.35">
      <c r="A8">
        <v>7</v>
      </c>
      <c r="B8">
        <v>3606.1689622799499</v>
      </c>
      <c r="C8">
        <v>20106.168962279899</v>
      </c>
      <c r="D8">
        <v>0.17072649572649501</v>
      </c>
      <c r="E8">
        <v>67</v>
      </c>
      <c r="F8">
        <v>9</v>
      </c>
      <c r="G8">
        <v>10.3333333333333</v>
      </c>
      <c r="M8" t="s">
        <v>7</v>
      </c>
    </row>
    <row r="9" spans="1:23" x14ac:dyDescent="0.35">
      <c r="A9">
        <v>8</v>
      </c>
      <c r="B9">
        <v>2010.5916980582799</v>
      </c>
      <c r="C9">
        <v>18010.591698058201</v>
      </c>
      <c r="D9">
        <v>0.11367521367521299</v>
      </c>
      <c r="E9">
        <v>101</v>
      </c>
      <c r="F9">
        <v>5</v>
      </c>
      <c r="G9">
        <v>5.6</v>
      </c>
      <c r="M9" t="s">
        <v>21</v>
      </c>
      <c r="N9">
        <v>3</v>
      </c>
      <c r="O9" t="s">
        <v>22</v>
      </c>
      <c r="P9">
        <v>1</v>
      </c>
      <c r="Q9">
        <v>10</v>
      </c>
      <c r="R9">
        <v>1</v>
      </c>
      <c r="S9">
        <v>10</v>
      </c>
      <c r="T9" t="s">
        <v>22</v>
      </c>
      <c r="U9">
        <v>175</v>
      </c>
      <c r="V9">
        <v>15</v>
      </c>
      <c r="W9">
        <v>15</v>
      </c>
    </row>
    <row r="10" spans="1:23" x14ac:dyDescent="0.35">
      <c r="A10">
        <v>9</v>
      </c>
      <c r="B10">
        <v>2557.8952995067102</v>
      </c>
      <c r="C10">
        <v>17957.895299506701</v>
      </c>
      <c r="D10">
        <v>0.14807692307692299</v>
      </c>
      <c r="E10">
        <v>101</v>
      </c>
      <c r="F10">
        <v>9</v>
      </c>
      <c r="G10">
        <v>8.4444444444444393</v>
      </c>
      <c r="M10" t="s">
        <v>23</v>
      </c>
      <c r="N10">
        <v>0</v>
      </c>
      <c r="O10" t="s">
        <v>22</v>
      </c>
      <c r="P10">
        <v>1</v>
      </c>
      <c r="Q10" t="s">
        <v>22</v>
      </c>
    </row>
    <row r="11" spans="1:23" x14ac:dyDescent="0.35">
      <c r="A11">
        <v>10</v>
      </c>
      <c r="B11">
        <v>14617.8027655859</v>
      </c>
      <c r="C11">
        <v>30457.8027655859</v>
      </c>
      <c r="D11">
        <v>9.5769230769230704E-2</v>
      </c>
      <c r="E11">
        <v>97</v>
      </c>
      <c r="F11">
        <v>8</v>
      </c>
      <c r="G11">
        <v>6.75</v>
      </c>
      <c r="M11" t="s">
        <v>24</v>
      </c>
      <c r="N11">
        <v>0</v>
      </c>
      <c r="O11" t="s">
        <v>22</v>
      </c>
      <c r="P11">
        <v>2</v>
      </c>
      <c r="Q11" t="s">
        <v>22</v>
      </c>
    </row>
    <row r="12" spans="1:23" x14ac:dyDescent="0.35">
      <c r="A12">
        <v>11</v>
      </c>
      <c r="B12">
        <v>745.93628848838398</v>
      </c>
      <c r="C12">
        <v>17745.936288488301</v>
      </c>
      <c r="D12">
        <v>9.3910256410256396E-2</v>
      </c>
      <c r="E12">
        <v>52</v>
      </c>
      <c r="F12">
        <v>5</v>
      </c>
      <c r="G12">
        <v>5.6</v>
      </c>
      <c r="M12" t="s">
        <v>25</v>
      </c>
      <c r="N12">
        <v>2</v>
      </c>
      <c r="O12" t="s">
        <v>22</v>
      </c>
      <c r="P12">
        <v>2</v>
      </c>
      <c r="Q12">
        <v>3</v>
      </c>
      <c r="R12">
        <v>5</v>
      </c>
      <c r="S12" t="s">
        <v>22</v>
      </c>
      <c r="T12">
        <v>704</v>
      </c>
      <c r="U12">
        <v>15</v>
      </c>
    </row>
    <row r="13" spans="1:23" x14ac:dyDescent="0.35">
      <c r="A13">
        <v>12</v>
      </c>
      <c r="B13">
        <v>11188.780928656401</v>
      </c>
      <c r="C13">
        <v>27588.780928656401</v>
      </c>
      <c r="D13">
        <v>0.12895299145299099</v>
      </c>
      <c r="E13">
        <v>20</v>
      </c>
      <c r="F13">
        <v>9</v>
      </c>
      <c r="G13">
        <v>10</v>
      </c>
      <c r="M13" t="s">
        <v>26</v>
      </c>
      <c r="N13">
        <v>0</v>
      </c>
      <c r="O13" t="s">
        <v>22</v>
      </c>
      <c r="P13">
        <v>3</v>
      </c>
      <c r="Q13" t="s">
        <v>22</v>
      </c>
    </row>
    <row r="14" spans="1:23" x14ac:dyDescent="0.35">
      <c r="A14">
        <v>13</v>
      </c>
      <c r="B14">
        <v>13805.6209561577</v>
      </c>
      <c r="C14">
        <v>28605.620956157702</v>
      </c>
      <c r="D14">
        <v>0.31987179487179401</v>
      </c>
      <c r="E14">
        <v>10</v>
      </c>
      <c r="F14">
        <v>6</v>
      </c>
      <c r="G14">
        <v>9.1666666666666607</v>
      </c>
      <c r="M14" t="s">
        <v>27</v>
      </c>
      <c r="N14">
        <v>2</v>
      </c>
      <c r="O14" t="s">
        <v>22</v>
      </c>
      <c r="P14">
        <v>3</v>
      </c>
      <c r="Q14">
        <v>4</v>
      </c>
      <c r="R14">
        <v>1</v>
      </c>
      <c r="S14" t="s">
        <v>22</v>
      </c>
      <c r="T14">
        <v>113</v>
      </c>
      <c r="U14">
        <v>430</v>
      </c>
    </row>
    <row r="15" spans="1:23" x14ac:dyDescent="0.35">
      <c r="A15">
        <v>14</v>
      </c>
      <c r="B15">
        <v>12828.2362644977</v>
      </c>
      <c r="C15">
        <v>29188.2362644977</v>
      </c>
      <c r="D15">
        <v>0.11690705128205101</v>
      </c>
      <c r="E15">
        <v>34</v>
      </c>
      <c r="F15">
        <v>10</v>
      </c>
      <c r="G15">
        <v>8.4</v>
      </c>
      <c r="M15" t="s">
        <v>28</v>
      </c>
      <c r="N15">
        <v>0</v>
      </c>
      <c r="O15" t="s">
        <v>22</v>
      </c>
      <c r="P15">
        <v>4</v>
      </c>
      <c r="Q15" t="s">
        <v>22</v>
      </c>
    </row>
    <row r="16" spans="1:23" x14ac:dyDescent="0.35">
      <c r="A16">
        <v>15</v>
      </c>
      <c r="B16">
        <v>4151.7879970713302</v>
      </c>
      <c r="C16">
        <v>19751.7879970713</v>
      </c>
      <c r="D16">
        <v>9.7051282051281995E-2</v>
      </c>
      <c r="E16">
        <v>142</v>
      </c>
      <c r="F16">
        <v>6</v>
      </c>
      <c r="G16">
        <v>5.5</v>
      </c>
      <c r="M16" t="s">
        <v>29</v>
      </c>
      <c r="N16">
        <v>0</v>
      </c>
      <c r="O16" t="s">
        <v>22</v>
      </c>
      <c r="P16">
        <v>4</v>
      </c>
      <c r="Q16" t="s">
        <v>22</v>
      </c>
    </row>
    <row r="17" spans="1:28" x14ac:dyDescent="0.35">
      <c r="A17">
        <v>16</v>
      </c>
      <c r="B17">
        <v>-4610.6389393666504</v>
      </c>
      <c r="C17">
        <v>10889.3610606333</v>
      </c>
      <c r="D17">
        <v>0.133333333333333</v>
      </c>
      <c r="E17">
        <v>44</v>
      </c>
      <c r="F17">
        <v>5</v>
      </c>
      <c r="G17">
        <v>6.2</v>
      </c>
      <c r="M17" t="s">
        <v>30</v>
      </c>
      <c r="N17">
        <v>1</v>
      </c>
      <c r="O17" t="s">
        <v>22</v>
      </c>
      <c r="P17">
        <v>5</v>
      </c>
      <c r="Q17">
        <v>6</v>
      </c>
      <c r="R17" t="s">
        <v>22</v>
      </c>
      <c r="S17">
        <v>144</v>
      </c>
    </row>
    <row r="18" spans="1:28" x14ac:dyDescent="0.35">
      <c r="A18">
        <v>17</v>
      </c>
      <c r="B18">
        <v>23292.393148376701</v>
      </c>
      <c r="C18">
        <v>38392.393148376701</v>
      </c>
      <c r="D18">
        <v>0.24198717948717899</v>
      </c>
      <c r="E18">
        <v>29</v>
      </c>
      <c r="F18">
        <v>8</v>
      </c>
      <c r="G18">
        <v>8.875</v>
      </c>
      <c r="M18" t="s">
        <v>31</v>
      </c>
      <c r="N18">
        <v>4</v>
      </c>
      <c r="O18" t="s">
        <v>22</v>
      </c>
      <c r="P18">
        <v>5</v>
      </c>
      <c r="Q18">
        <v>3</v>
      </c>
      <c r="R18">
        <v>4</v>
      </c>
      <c r="S18">
        <v>3</v>
      </c>
      <c r="T18">
        <v>6</v>
      </c>
      <c r="U18" t="s">
        <v>22</v>
      </c>
      <c r="V18">
        <v>56</v>
      </c>
      <c r="W18">
        <v>112</v>
      </c>
      <c r="X18">
        <v>15</v>
      </c>
      <c r="Y18">
        <v>15</v>
      </c>
    </row>
    <row r="19" spans="1:28" x14ac:dyDescent="0.35">
      <c r="A19">
        <v>18</v>
      </c>
      <c r="B19">
        <v>8627.8793545527496</v>
      </c>
      <c r="C19">
        <v>25647.879354552701</v>
      </c>
      <c r="D19">
        <v>0.13133012820512799</v>
      </c>
      <c r="E19">
        <v>94</v>
      </c>
      <c r="F19">
        <v>9</v>
      </c>
      <c r="G19">
        <v>13.6666666666666</v>
      </c>
      <c r="M19" t="s">
        <v>32</v>
      </c>
      <c r="N19">
        <v>4</v>
      </c>
      <c r="O19" t="s">
        <v>22</v>
      </c>
      <c r="P19">
        <v>6</v>
      </c>
      <c r="Q19">
        <v>5</v>
      </c>
      <c r="R19">
        <v>6</v>
      </c>
      <c r="S19">
        <v>5</v>
      </c>
      <c r="T19">
        <v>6</v>
      </c>
      <c r="U19" t="s">
        <v>22</v>
      </c>
      <c r="V19">
        <v>493</v>
      </c>
      <c r="W19">
        <v>15</v>
      </c>
      <c r="X19">
        <v>144</v>
      </c>
      <c r="Y19">
        <v>15</v>
      </c>
    </row>
    <row r="20" spans="1:28" x14ac:dyDescent="0.35">
      <c r="A20">
        <v>19</v>
      </c>
      <c r="B20">
        <v>-7996.0035413908499</v>
      </c>
      <c r="C20">
        <v>8103.9964586091401</v>
      </c>
      <c r="D20">
        <v>0.12670940170940101</v>
      </c>
      <c r="E20">
        <v>85</v>
      </c>
      <c r="F20">
        <v>7</v>
      </c>
      <c r="G20">
        <v>5</v>
      </c>
      <c r="M20" t="s">
        <v>33</v>
      </c>
      <c r="N20">
        <v>0</v>
      </c>
      <c r="O20" t="s">
        <v>22</v>
      </c>
      <c r="P20">
        <v>6</v>
      </c>
      <c r="Q20" t="s">
        <v>22</v>
      </c>
    </row>
    <row r="21" spans="1:28" x14ac:dyDescent="0.35">
      <c r="A21">
        <v>20</v>
      </c>
      <c r="B21">
        <v>1746.87264753049</v>
      </c>
      <c r="C21">
        <v>16946.872647530399</v>
      </c>
      <c r="D21">
        <v>0.157532051282051</v>
      </c>
      <c r="E21">
        <v>26</v>
      </c>
      <c r="F21">
        <v>6</v>
      </c>
      <c r="G21">
        <v>10.8333333333333</v>
      </c>
      <c r="M21" t="s">
        <v>34</v>
      </c>
      <c r="N21">
        <v>0</v>
      </c>
      <c r="O21" t="s">
        <v>22</v>
      </c>
      <c r="P21">
        <v>7</v>
      </c>
      <c r="Q21" t="s">
        <v>22</v>
      </c>
    </row>
    <row r="22" spans="1:28" x14ac:dyDescent="0.35">
      <c r="M22" t="s">
        <v>35</v>
      </c>
      <c r="N22">
        <v>0</v>
      </c>
      <c r="O22" t="s">
        <v>22</v>
      </c>
      <c r="P22">
        <v>7</v>
      </c>
      <c r="Q22" t="s">
        <v>22</v>
      </c>
    </row>
    <row r="23" spans="1:28" x14ac:dyDescent="0.35">
      <c r="A23" t="s">
        <v>92</v>
      </c>
      <c r="B23">
        <f>AVERAGE(B2:B21)</f>
        <v>9306.0917270866739</v>
      </c>
      <c r="C23">
        <f t="shared" ref="C23:G23" si="0">AVERAGE(C2:C21)</f>
        <v>25297.091727086652</v>
      </c>
      <c r="D23">
        <f t="shared" si="0"/>
        <v>0.14164222756410214</v>
      </c>
      <c r="E23">
        <f t="shared" si="0"/>
        <v>72.400000000000006</v>
      </c>
      <c r="F23">
        <f t="shared" si="0"/>
        <v>7.55</v>
      </c>
      <c r="G23">
        <f t="shared" si="0"/>
        <v>8.2772817460317363</v>
      </c>
      <c r="M23" t="s">
        <v>36</v>
      </c>
      <c r="N23">
        <v>0</v>
      </c>
      <c r="O23" t="s">
        <v>22</v>
      </c>
      <c r="P23">
        <v>8</v>
      </c>
      <c r="Q23" t="s">
        <v>22</v>
      </c>
    </row>
    <row r="24" spans="1:28" x14ac:dyDescent="0.35">
      <c r="A24" t="s">
        <v>93</v>
      </c>
      <c r="B24">
        <f>_xlfn.STDEV.S(B2:B21)</f>
        <v>9338.6525548983755</v>
      </c>
      <c r="C24">
        <f t="shared" ref="C24:G24" si="1">_xlfn.STDEV.S(C2:C21)</f>
        <v>9348.7483417386211</v>
      </c>
      <c r="D24">
        <f t="shared" si="1"/>
        <v>5.3361426544154697E-2</v>
      </c>
      <c r="E24">
        <f t="shared" si="1"/>
        <v>50.583334055897566</v>
      </c>
      <c r="F24">
        <f t="shared" si="1"/>
        <v>2.2118104039808424</v>
      </c>
      <c r="G24">
        <f t="shared" si="1"/>
        <v>2.4830117888118997</v>
      </c>
      <c r="M24" t="s">
        <v>37</v>
      </c>
      <c r="N24">
        <v>0</v>
      </c>
      <c r="O24" t="s">
        <v>22</v>
      </c>
      <c r="P24">
        <v>8</v>
      </c>
      <c r="Q24" t="s">
        <v>22</v>
      </c>
    </row>
    <row r="25" spans="1:28" x14ac:dyDescent="0.35">
      <c r="M25" t="s">
        <v>38</v>
      </c>
      <c r="N25">
        <v>3</v>
      </c>
      <c r="O25" t="s">
        <v>22</v>
      </c>
      <c r="P25">
        <v>9</v>
      </c>
      <c r="Q25">
        <v>5</v>
      </c>
      <c r="R25">
        <v>4</v>
      </c>
      <c r="S25">
        <v>9</v>
      </c>
      <c r="T25" t="s">
        <v>22</v>
      </c>
      <c r="U25">
        <v>100</v>
      </c>
      <c r="V25">
        <v>430</v>
      </c>
      <c r="W25">
        <v>15</v>
      </c>
    </row>
    <row r="26" spans="1:28" x14ac:dyDescent="0.35">
      <c r="M26" t="s">
        <v>39</v>
      </c>
      <c r="N26">
        <v>0</v>
      </c>
      <c r="O26" t="s">
        <v>22</v>
      </c>
      <c r="P26">
        <v>9</v>
      </c>
      <c r="Q26" t="s">
        <v>22</v>
      </c>
    </row>
    <row r="27" spans="1:28" x14ac:dyDescent="0.35">
      <c r="M27" t="s">
        <v>40</v>
      </c>
      <c r="N27">
        <v>3</v>
      </c>
      <c r="O27" t="s">
        <v>22</v>
      </c>
      <c r="P27">
        <v>10</v>
      </c>
      <c r="Q27">
        <v>3</v>
      </c>
      <c r="R27">
        <v>6</v>
      </c>
      <c r="S27">
        <v>3</v>
      </c>
      <c r="T27" t="s">
        <v>22</v>
      </c>
      <c r="U27">
        <v>168</v>
      </c>
      <c r="V27">
        <v>268</v>
      </c>
      <c r="W27">
        <v>116</v>
      </c>
    </row>
    <row r="28" spans="1:28" x14ac:dyDescent="0.35">
      <c r="M28" t="s">
        <v>41</v>
      </c>
      <c r="N28">
        <v>5</v>
      </c>
      <c r="O28" t="s">
        <v>22</v>
      </c>
      <c r="P28">
        <v>10</v>
      </c>
      <c r="Q28">
        <v>3</v>
      </c>
      <c r="R28">
        <v>10</v>
      </c>
      <c r="S28">
        <v>1</v>
      </c>
      <c r="T28">
        <v>4</v>
      </c>
      <c r="U28">
        <v>10</v>
      </c>
      <c r="V28" t="s">
        <v>22</v>
      </c>
      <c r="W28">
        <v>522</v>
      </c>
      <c r="X28">
        <v>15</v>
      </c>
      <c r="Y28">
        <v>15</v>
      </c>
      <c r="Z28">
        <v>26</v>
      </c>
      <c r="AA28">
        <v>44</v>
      </c>
    </row>
    <row r="29" spans="1:28" x14ac:dyDescent="0.35">
      <c r="M29" t="s">
        <v>42</v>
      </c>
      <c r="N29" t="s">
        <v>43</v>
      </c>
    </row>
    <row r="30" spans="1:28" x14ac:dyDescent="0.35">
      <c r="M30" t="s">
        <v>8</v>
      </c>
    </row>
    <row r="31" spans="1:28" x14ac:dyDescent="0.35">
      <c r="M31" t="s">
        <v>44</v>
      </c>
      <c r="N31">
        <v>8</v>
      </c>
      <c r="O31" t="s">
        <v>22</v>
      </c>
      <c r="P31" t="s">
        <v>45</v>
      </c>
      <c r="Q31">
        <v>6</v>
      </c>
      <c r="R31" t="s">
        <v>22</v>
      </c>
      <c r="S31" t="s">
        <v>46</v>
      </c>
      <c r="T31" t="s">
        <v>47</v>
      </c>
      <c r="U31" t="s">
        <v>22</v>
      </c>
      <c r="V31">
        <v>3</v>
      </c>
      <c r="W31" t="s">
        <v>48</v>
      </c>
      <c r="X31">
        <v>4</v>
      </c>
      <c r="Y31" t="s">
        <v>22</v>
      </c>
      <c r="Z31" t="s">
        <v>49</v>
      </c>
      <c r="AA31" t="s">
        <v>22</v>
      </c>
      <c r="AB31" t="s">
        <v>52</v>
      </c>
    </row>
    <row r="32" spans="1:28" x14ac:dyDescent="0.35">
      <c r="M32" t="s">
        <v>44</v>
      </c>
      <c r="N32">
        <v>28</v>
      </c>
      <c r="O32" t="s">
        <v>22</v>
      </c>
      <c r="P32" t="s">
        <v>45</v>
      </c>
      <c r="Q32">
        <v>10</v>
      </c>
      <c r="R32" t="s">
        <v>22</v>
      </c>
      <c r="S32" t="s">
        <v>46</v>
      </c>
      <c r="T32" t="s">
        <v>50</v>
      </c>
      <c r="U32" t="s">
        <v>22</v>
      </c>
      <c r="V32">
        <v>3</v>
      </c>
      <c r="W32" t="s">
        <v>48</v>
      </c>
      <c r="X32">
        <v>4</v>
      </c>
      <c r="Y32" t="s">
        <v>22</v>
      </c>
      <c r="Z32" t="s">
        <v>49</v>
      </c>
      <c r="AA32" t="s">
        <v>22</v>
      </c>
      <c r="AB32" t="s">
        <v>131</v>
      </c>
    </row>
    <row r="33" spans="13:28" x14ac:dyDescent="0.35">
      <c r="M33" t="s">
        <v>44</v>
      </c>
      <c r="N33">
        <v>38</v>
      </c>
      <c r="O33" t="s">
        <v>22</v>
      </c>
      <c r="P33" t="s">
        <v>45</v>
      </c>
      <c r="Q33">
        <v>19</v>
      </c>
      <c r="R33" t="s">
        <v>22</v>
      </c>
      <c r="S33" t="s">
        <v>46</v>
      </c>
      <c r="T33" t="s">
        <v>50</v>
      </c>
      <c r="U33" t="s">
        <v>22</v>
      </c>
      <c r="V33">
        <v>3</v>
      </c>
      <c r="W33" t="s">
        <v>48</v>
      </c>
      <c r="X33">
        <v>6</v>
      </c>
      <c r="Y33" t="s">
        <v>22</v>
      </c>
      <c r="Z33" t="s">
        <v>49</v>
      </c>
      <c r="AA33" t="s">
        <v>22</v>
      </c>
      <c r="AB33" t="s">
        <v>132</v>
      </c>
    </row>
    <row r="34" spans="13:28" x14ac:dyDescent="0.35">
      <c r="M34" t="s">
        <v>44</v>
      </c>
      <c r="N34">
        <v>49</v>
      </c>
      <c r="O34" t="s">
        <v>22</v>
      </c>
      <c r="P34" t="s">
        <v>45</v>
      </c>
      <c r="Q34">
        <v>6</v>
      </c>
      <c r="R34" t="s">
        <v>22</v>
      </c>
      <c r="S34" t="s">
        <v>46</v>
      </c>
      <c r="T34" t="s">
        <v>50</v>
      </c>
      <c r="U34" t="s">
        <v>22</v>
      </c>
      <c r="V34">
        <v>4</v>
      </c>
      <c r="W34" t="s">
        <v>48</v>
      </c>
      <c r="X34">
        <v>1</v>
      </c>
      <c r="Y34" t="s">
        <v>22</v>
      </c>
      <c r="Z34" t="s">
        <v>51</v>
      </c>
      <c r="AA34" t="s">
        <v>22</v>
      </c>
      <c r="AB34" t="s">
        <v>108</v>
      </c>
    </row>
    <row r="35" spans="13:28" x14ac:dyDescent="0.35">
      <c r="M35" t="s">
        <v>44</v>
      </c>
      <c r="N35">
        <v>5</v>
      </c>
      <c r="O35" t="s">
        <v>22</v>
      </c>
      <c r="P35" t="s">
        <v>45</v>
      </c>
      <c r="Q35">
        <v>17</v>
      </c>
      <c r="R35" t="s">
        <v>22</v>
      </c>
      <c r="S35" t="s">
        <v>46</v>
      </c>
      <c r="T35" t="s">
        <v>47</v>
      </c>
      <c r="U35" t="s">
        <v>22</v>
      </c>
      <c r="V35">
        <v>9</v>
      </c>
      <c r="W35" t="s">
        <v>48</v>
      </c>
      <c r="X35">
        <v>5</v>
      </c>
      <c r="Y35" t="s">
        <v>22</v>
      </c>
      <c r="Z35" t="s">
        <v>49</v>
      </c>
      <c r="AA35" t="s">
        <v>22</v>
      </c>
      <c r="AB35" t="s">
        <v>113</v>
      </c>
    </row>
    <row r="36" spans="13:28" x14ac:dyDescent="0.35">
      <c r="M36" t="s">
        <v>44</v>
      </c>
      <c r="N36">
        <v>3</v>
      </c>
      <c r="O36" t="s">
        <v>22</v>
      </c>
      <c r="P36" t="s">
        <v>45</v>
      </c>
      <c r="Q36">
        <v>10</v>
      </c>
      <c r="R36" t="s">
        <v>22</v>
      </c>
      <c r="S36" t="s">
        <v>46</v>
      </c>
      <c r="T36" t="s">
        <v>47</v>
      </c>
      <c r="U36" t="s">
        <v>22</v>
      </c>
      <c r="V36">
        <v>5</v>
      </c>
      <c r="W36" t="s">
        <v>48</v>
      </c>
      <c r="X36">
        <v>3</v>
      </c>
      <c r="Y36" t="s">
        <v>22</v>
      </c>
      <c r="Z36" t="s">
        <v>49</v>
      </c>
      <c r="AA36" t="s">
        <v>22</v>
      </c>
      <c r="AB36" t="s">
        <v>133</v>
      </c>
    </row>
    <row r="37" spans="13:28" x14ac:dyDescent="0.35">
      <c r="M37" t="s">
        <v>44</v>
      </c>
      <c r="N37">
        <v>54</v>
      </c>
      <c r="O37" t="s">
        <v>22</v>
      </c>
      <c r="P37" t="s">
        <v>45</v>
      </c>
      <c r="Q37">
        <v>20</v>
      </c>
      <c r="R37" t="s">
        <v>22</v>
      </c>
      <c r="S37" t="s">
        <v>46</v>
      </c>
      <c r="T37" t="s">
        <v>75</v>
      </c>
      <c r="U37" t="s">
        <v>22</v>
      </c>
      <c r="V37">
        <v>1</v>
      </c>
      <c r="W37" t="s">
        <v>48</v>
      </c>
      <c r="X37">
        <v>4</v>
      </c>
      <c r="Y37" t="s">
        <v>22</v>
      </c>
      <c r="Z37" t="s">
        <v>53</v>
      </c>
      <c r="AA37" t="s">
        <v>22</v>
      </c>
      <c r="AB37" t="s">
        <v>134</v>
      </c>
    </row>
    <row r="38" spans="13:28" x14ac:dyDescent="0.35">
      <c r="M38" t="s">
        <v>44</v>
      </c>
      <c r="N38">
        <v>16</v>
      </c>
      <c r="O38" t="s">
        <v>22</v>
      </c>
      <c r="P38" t="s">
        <v>45</v>
      </c>
      <c r="Q38">
        <v>9</v>
      </c>
      <c r="R38" t="s">
        <v>22</v>
      </c>
      <c r="S38" t="s">
        <v>46</v>
      </c>
      <c r="T38" t="s">
        <v>47</v>
      </c>
      <c r="U38" t="s">
        <v>22</v>
      </c>
      <c r="V38">
        <v>5</v>
      </c>
      <c r="W38" t="s">
        <v>48</v>
      </c>
      <c r="X38">
        <v>6</v>
      </c>
      <c r="Y38" t="s">
        <v>22</v>
      </c>
      <c r="Z38" t="s">
        <v>49</v>
      </c>
      <c r="AA38" t="s">
        <v>22</v>
      </c>
      <c r="AB38" t="s">
        <v>135</v>
      </c>
    </row>
    <row r="39" spans="13:28" x14ac:dyDescent="0.35">
      <c r="M39" t="s">
        <v>44</v>
      </c>
      <c r="N39">
        <v>40</v>
      </c>
      <c r="O39" t="s">
        <v>22</v>
      </c>
      <c r="P39" t="s">
        <v>45</v>
      </c>
      <c r="Q39">
        <v>11</v>
      </c>
      <c r="R39" t="s">
        <v>22</v>
      </c>
      <c r="S39" t="s">
        <v>46</v>
      </c>
      <c r="T39" t="s">
        <v>47</v>
      </c>
      <c r="U39" t="s">
        <v>22</v>
      </c>
      <c r="V39">
        <v>6</v>
      </c>
      <c r="W39" t="s">
        <v>48</v>
      </c>
      <c r="X39">
        <v>5</v>
      </c>
      <c r="Y39" t="s">
        <v>22</v>
      </c>
      <c r="Z39" t="s">
        <v>51</v>
      </c>
      <c r="AA39" t="s">
        <v>22</v>
      </c>
      <c r="AB39" t="s">
        <v>136</v>
      </c>
    </row>
    <row r="40" spans="13:28" x14ac:dyDescent="0.35">
      <c r="M40" t="s">
        <v>44</v>
      </c>
      <c r="N40">
        <v>61</v>
      </c>
      <c r="O40" t="s">
        <v>22</v>
      </c>
      <c r="P40" t="s">
        <v>45</v>
      </c>
      <c r="Q40">
        <v>4</v>
      </c>
      <c r="R40" t="s">
        <v>22</v>
      </c>
      <c r="S40" t="s">
        <v>46</v>
      </c>
      <c r="T40" t="s">
        <v>47</v>
      </c>
      <c r="U40" t="s">
        <v>22</v>
      </c>
      <c r="V40">
        <v>2</v>
      </c>
      <c r="W40" t="s">
        <v>48</v>
      </c>
      <c r="X40">
        <v>3</v>
      </c>
      <c r="Y40" t="s">
        <v>22</v>
      </c>
      <c r="Z40" t="s">
        <v>51</v>
      </c>
      <c r="AA40" t="s">
        <v>22</v>
      </c>
      <c r="AB40" t="s">
        <v>137</v>
      </c>
    </row>
    <row r="41" spans="13:28" x14ac:dyDescent="0.35">
      <c r="M41" t="s">
        <v>44</v>
      </c>
      <c r="N41">
        <v>27</v>
      </c>
      <c r="O41" t="s">
        <v>22</v>
      </c>
      <c r="P41" t="s">
        <v>45</v>
      </c>
      <c r="Q41">
        <v>19</v>
      </c>
      <c r="R41" t="s">
        <v>22</v>
      </c>
      <c r="S41" t="s">
        <v>46</v>
      </c>
      <c r="T41" t="s">
        <v>47</v>
      </c>
      <c r="U41" t="s">
        <v>22</v>
      </c>
      <c r="V41">
        <v>10</v>
      </c>
      <c r="W41" t="s">
        <v>48</v>
      </c>
      <c r="X41">
        <v>3</v>
      </c>
      <c r="Y41" t="s">
        <v>22</v>
      </c>
      <c r="Z41" t="s">
        <v>49</v>
      </c>
      <c r="AA41" t="s">
        <v>22</v>
      </c>
      <c r="AB41" t="s">
        <v>138</v>
      </c>
    </row>
    <row r="42" spans="13:28" x14ac:dyDescent="0.35">
      <c r="M42" t="s">
        <v>44</v>
      </c>
      <c r="N42">
        <v>42</v>
      </c>
      <c r="O42" t="s">
        <v>22</v>
      </c>
      <c r="P42" t="s">
        <v>45</v>
      </c>
      <c r="Q42">
        <v>20</v>
      </c>
      <c r="R42" t="s">
        <v>22</v>
      </c>
      <c r="S42" t="s">
        <v>46</v>
      </c>
      <c r="T42" t="s">
        <v>47</v>
      </c>
      <c r="U42" t="s">
        <v>22</v>
      </c>
      <c r="V42">
        <v>10</v>
      </c>
      <c r="W42" t="s">
        <v>48</v>
      </c>
      <c r="X42">
        <v>3</v>
      </c>
      <c r="Y42" t="s">
        <v>22</v>
      </c>
      <c r="Z42" t="s">
        <v>49</v>
      </c>
      <c r="AA42" t="s">
        <v>22</v>
      </c>
      <c r="AB42" t="s">
        <v>139</v>
      </c>
    </row>
    <row r="43" spans="13:28" x14ac:dyDescent="0.35">
      <c r="M43" t="s">
        <v>44</v>
      </c>
      <c r="N43">
        <v>59</v>
      </c>
      <c r="O43" t="s">
        <v>22</v>
      </c>
      <c r="P43" t="s">
        <v>45</v>
      </c>
      <c r="Q43">
        <v>11</v>
      </c>
      <c r="R43" t="s">
        <v>22</v>
      </c>
      <c r="S43" t="s">
        <v>46</v>
      </c>
      <c r="T43" t="s">
        <v>73</v>
      </c>
      <c r="U43" t="s">
        <v>22</v>
      </c>
      <c r="V43">
        <v>6</v>
      </c>
      <c r="W43" t="s">
        <v>48</v>
      </c>
      <c r="X43">
        <v>5</v>
      </c>
      <c r="Y43" t="s">
        <v>22</v>
      </c>
      <c r="Z43" t="s">
        <v>51</v>
      </c>
      <c r="AA43" t="s">
        <v>22</v>
      </c>
      <c r="AB43" t="s">
        <v>140</v>
      </c>
    </row>
    <row r="44" spans="13:28" x14ac:dyDescent="0.35">
      <c r="M44" t="s">
        <v>44</v>
      </c>
      <c r="N44">
        <v>30</v>
      </c>
      <c r="O44" t="s">
        <v>22</v>
      </c>
      <c r="P44" t="s">
        <v>45</v>
      </c>
      <c r="Q44">
        <v>1</v>
      </c>
      <c r="R44" t="s">
        <v>22</v>
      </c>
      <c r="S44" t="s">
        <v>46</v>
      </c>
      <c r="T44" t="s">
        <v>47</v>
      </c>
      <c r="U44" t="s">
        <v>22</v>
      </c>
      <c r="V44">
        <v>1</v>
      </c>
      <c r="W44" t="s">
        <v>48</v>
      </c>
      <c r="X44">
        <v>10</v>
      </c>
      <c r="Y44" t="s">
        <v>22</v>
      </c>
      <c r="Z44" t="s">
        <v>70</v>
      </c>
      <c r="AA44" t="s">
        <v>22</v>
      </c>
      <c r="AB44" t="s">
        <v>141</v>
      </c>
    </row>
    <row r="45" spans="13:28" x14ac:dyDescent="0.35">
      <c r="M45" t="s">
        <v>9</v>
      </c>
    </row>
    <row r="46" spans="13:28" x14ac:dyDescent="0.35">
      <c r="M46" t="s">
        <v>10</v>
      </c>
    </row>
    <row r="48" spans="13:28" x14ac:dyDescent="0.35">
      <c r="M48" t="s">
        <v>54</v>
      </c>
      <c r="N48">
        <v>1</v>
      </c>
    </row>
    <row r="49" spans="13:19" x14ac:dyDescent="0.35">
      <c r="M49" t="s">
        <v>11</v>
      </c>
    </row>
    <row r="50" spans="13:19" x14ac:dyDescent="0.35">
      <c r="M50" t="s">
        <v>55</v>
      </c>
      <c r="N50" t="s">
        <v>56</v>
      </c>
      <c r="O50" t="s">
        <v>57</v>
      </c>
      <c r="P50" t="s">
        <v>58</v>
      </c>
      <c r="Q50" t="s">
        <v>59</v>
      </c>
      <c r="R50" t="s">
        <v>60</v>
      </c>
      <c r="S50" t="s">
        <v>61</v>
      </c>
    </row>
    <row r="51" spans="13:19" x14ac:dyDescent="0.35">
      <c r="M51" t="s">
        <v>11</v>
      </c>
    </row>
    <row r="52" spans="13:19" x14ac:dyDescent="0.35">
      <c r="M52">
        <v>1</v>
      </c>
      <c r="N52">
        <v>1</v>
      </c>
      <c r="O52">
        <v>10</v>
      </c>
      <c r="P52">
        <v>175</v>
      </c>
      <c r="Q52">
        <v>185</v>
      </c>
      <c r="R52">
        <v>10</v>
      </c>
      <c r="S52">
        <v>3</v>
      </c>
    </row>
    <row r="53" spans="13:19" x14ac:dyDescent="0.35">
      <c r="M53">
        <v>2</v>
      </c>
      <c r="N53">
        <v>10</v>
      </c>
      <c r="O53">
        <v>1</v>
      </c>
      <c r="P53">
        <v>200</v>
      </c>
      <c r="Q53">
        <v>210</v>
      </c>
      <c r="R53">
        <v>10</v>
      </c>
      <c r="S53">
        <v>4</v>
      </c>
    </row>
    <row r="54" spans="13:19" x14ac:dyDescent="0.35">
      <c r="M54">
        <v>3</v>
      </c>
      <c r="N54">
        <v>1</v>
      </c>
      <c r="O54">
        <v>10</v>
      </c>
      <c r="P54">
        <v>225</v>
      </c>
      <c r="Q54">
        <v>235</v>
      </c>
      <c r="R54">
        <v>10</v>
      </c>
      <c r="S54">
        <v>4</v>
      </c>
    </row>
    <row r="56" spans="13:19" x14ac:dyDescent="0.35">
      <c r="M56" t="s">
        <v>54</v>
      </c>
      <c r="N56">
        <v>4</v>
      </c>
    </row>
    <row r="57" spans="13:19" x14ac:dyDescent="0.35">
      <c r="M57" t="s">
        <v>11</v>
      </c>
    </row>
    <row r="58" spans="13:19" x14ac:dyDescent="0.35">
      <c r="M58" t="s">
        <v>55</v>
      </c>
      <c r="N58" t="s">
        <v>56</v>
      </c>
      <c r="O58" t="s">
        <v>57</v>
      </c>
      <c r="P58" t="s">
        <v>58</v>
      </c>
      <c r="Q58" t="s">
        <v>59</v>
      </c>
      <c r="R58" t="s">
        <v>60</v>
      </c>
      <c r="S58" t="s">
        <v>61</v>
      </c>
    </row>
    <row r="59" spans="13:19" x14ac:dyDescent="0.35">
      <c r="M59" t="s">
        <v>11</v>
      </c>
    </row>
    <row r="60" spans="13:19" x14ac:dyDescent="0.35">
      <c r="M60">
        <v>1</v>
      </c>
      <c r="N60">
        <v>2</v>
      </c>
      <c r="O60">
        <v>3</v>
      </c>
      <c r="P60">
        <v>704</v>
      </c>
      <c r="Q60">
        <v>731</v>
      </c>
      <c r="R60">
        <v>27</v>
      </c>
      <c r="S60">
        <v>1</v>
      </c>
    </row>
    <row r="61" spans="13:19" x14ac:dyDescent="0.35">
      <c r="M61">
        <v>2</v>
      </c>
      <c r="N61">
        <v>3</v>
      </c>
      <c r="O61">
        <v>5</v>
      </c>
      <c r="P61">
        <v>746</v>
      </c>
      <c r="Q61">
        <v>759</v>
      </c>
      <c r="R61">
        <v>13</v>
      </c>
      <c r="S61">
        <v>4</v>
      </c>
    </row>
    <row r="63" spans="13:19" x14ac:dyDescent="0.35">
      <c r="M63" t="s">
        <v>54</v>
      </c>
      <c r="N63">
        <v>6</v>
      </c>
    </row>
    <row r="64" spans="13:19" x14ac:dyDescent="0.35">
      <c r="M64" t="s">
        <v>11</v>
      </c>
    </row>
    <row r="65" spans="13:19" x14ac:dyDescent="0.35">
      <c r="M65" t="s">
        <v>55</v>
      </c>
      <c r="N65" t="s">
        <v>56</v>
      </c>
      <c r="O65" t="s">
        <v>57</v>
      </c>
      <c r="P65" t="s">
        <v>58</v>
      </c>
      <c r="Q65" t="s">
        <v>59</v>
      </c>
      <c r="R65" t="s">
        <v>60</v>
      </c>
      <c r="S65" t="s">
        <v>61</v>
      </c>
    </row>
    <row r="66" spans="13:19" x14ac:dyDescent="0.35">
      <c r="M66" t="s">
        <v>11</v>
      </c>
    </row>
    <row r="67" spans="13:19" x14ac:dyDescent="0.35">
      <c r="M67">
        <v>1</v>
      </c>
      <c r="N67">
        <v>3</v>
      </c>
      <c r="O67">
        <v>4</v>
      </c>
      <c r="P67">
        <v>113</v>
      </c>
      <c r="Q67">
        <v>129</v>
      </c>
      <c r="R67">
        <v>16</v>
      </c>
      <c r="S67">
        <v>0</v>
      </c>
    </row>
    <row r="68" spans="13:19" x14ac:dyDescent="0.35">
      <c r="M68">
        <v>2</v>
      </c>
      <c r="N68">
        <v>4</v>
      </c>
      <c r="O68">
        <v>1</v>
      </c>
      <c r="P68">
        <v>559</v>
      </c>
      <c r="Q68">
        <v>589</v>
      </c>
      <c r="R68">
        <v>30</v>
      </c>
      <c r="S68">
        <v>0</v>
      </c>
    </row>
    <row r="70" spans="13:19" x14ac:dyDescent="0.35">
      <c r="M70" t="s">
        <v>54</v>
      </c>
      <c r="N70">
        <v>9</v>
      </c>
    </row>
    <row r="71" spans="13:19" x14ac:dyDescent="0.35">
      <c r="M71" t="s">
        <v>11</v>
      </c>
    </row>
    <row r="72" spans="13:19" x14ac:dyDescent="0.35">
      <c r="M72" t="s">
        <v>55</v>
      </c>
      <c r="N72" t="s">
        <v>56</v>
      </c>
      <c r="O72" t="s">
        <v>57</v>
      </c>
      <c r="P72" t="s">
        <v>58</v>
      </c>
      <c r="Q72" t="s">
        <v>59</v>
      </c>
      <c r="R72" t="s">
        <v>60</v>
      </c>
      <c r="S72" t="s">
        <v>61</v>
      </c>
    </row>
    <row r="73" spans="13:19" x14ac:dyDescent="0.35">
      <c r="M73" t="s">
        <v>11</v>
      </c>
    </row>
    <row r="74" spans="13:19" x14ac:dyDescent="0.35">
      <c r="M74">
        <v>1</v>
      </c>
      <c r="N74">
        <v>5</v>
      </c>
      <c r="O74">
        <v>6</v>
      </c>
      <c r="P74">
        <v>144</v>
      </c>
      <c r="Q74">
        <v>158</v>
      </c>
      <c r="R74">
        <v>14</v>
      </c>
      <c r="S74">
        <v>0</v>
      </c>
    </row>
    <row r="76" spans="13:19" x14ac:dyDescent="0.35">
      <c r="M76" t="s">
        <v>54</v>
      </c>
      <c r="N76">
        <v>10</v>
      </c>
    </row>
    <row r="77" spans="13:19" x14ac:dyDescent="0.35">
      <c r="M77" t="s">
        <v>11</v>
      </c>
    </row>
    <row r="78" spans="13:19" x14ac:dyDescent="0.35">
      <c r="M78" t="s">
        <v>55</v>
      </c>
      <c r="N78" t="s">
        <v>56</v>
      </c>
      <c r="O78" t="s">
        <v>57</v>
      </c>
      <c r="P78" t="s">
        <v>58</v>
      </c>
      <c r="Q78" t="s">
        <v>59</v>
      </c>
      <c r="R78" t="s">
        <v>60</v>
      </c>
      <c r="S78" t="s">
        <v>61</v>
      </c>
    </row>
    <row r="79" spans="13:19" x14ac:dyDescent="0.35">
      <c r="M79" t="s">
        <v>11</v>
      </c>
    </row>
    <row r="80" spans="13:19" x14ac:dyDescent="0.35">
      <c r="M80">
        <v>1</v>
      </c>
      <c r="N80">
        <v>5</v>
      </c>
      <c r="O80">
        <v>3</v>
      </c>
      <c r="P80">
        <v>56</v>
      </c>
      <c r="Q80">
        <v>69</v>
      </c>
      <c r="R80">
        <v>13</v>
      </c>
      <c r="S80">
        <v>0</v>
      </c>
    </row>
    <row r="81" spans="13:19" x14ac:dyDescent="0.35">
      <c r="M81">
        <v>2</v>
      </c>
      <c r="N81">
        <v>3</v>
      </c>
      <c r="O81">
        <v>4</v>
      </c>
      <c r="P81">
        <v>181</v>
      </c>
      <c r="Q81">
        <v>197</v>
      </c>
      <c r="R81">
        <v>16</v>
      </c>
      <c r="S81">
        <v>0</v>
      </c>
    </row>
    <row r="82" spans="13:19" x14ac:dyDescent="0.35">
      <c r="M82">
        <v>3</v>
      </c>
      <c r="N82">
        <v>4</v>
      </c>
      <c r="O82">
        <v>3</v>
      </c>
      <c r="P82">
        <v>212</v>
      </c>
      <c r="Q82">
        <v>228</v>
      </c>
      <c r="R82">
        <v>16</v>
      </c>
      <c r="S82">
        <v>4</v>
      </c>
    </row>
    <row r="83" spans="13:19" x14ac:dyDescent="0.35">
      <c r="M83">
        <v>4</v>
      </c>
      <c r="N83">
        <v>3</v>
      </c>
      <c r="O83">
        <v>6</v>
      </c>
      <c r="P83">
        <v>243</v>
      </c>
      <c r="Q83">
        <v>269</v>
      </c>
      <c r="R83">
        <v>26</v>
      </c>
      <c r="S83">
        <v>4</v>
      </c>
    </row>
    <row r="85" spans="13:19" x14ac:dyDescent="0.35">
      <c r="M85" t="s">
        <v>54</v>
      </c>
      <c r="N85">
        <v>11</v>
      </c>
    </row>
    <row r="86" spans="13:19" x14ac:dyDescent="0.35">
      <c r="M86" t="s">
        <v>11</v>
      </c>
    </row>
    <row r="87" spans="13:19" x14ac:dyDescent="0.35">
      <c r="M87" t="s">
        <v>55</v>
      </c>
      <c r="N87" t="s">
        <v>56</v>
      </c>
      <c r="O87" t="s">
        <v>57</v>
      </c>
      <c r="P87" t="s">
        <v>58</v>
      </c>
      <c r="Q87" t="s">
        <v>59</v>
      </c>
      <c r="R87" t="s">
        <v>60</v>
      </c>
      <c r="S87" t="s">
        <v>61</v>
      </c>
    </row>
    <row r="88" spans="13:19" x14ac:dyDescent="0.35">
      <c r="M88" t="s">
        <v>11</v>
      </c>
    </row>
    <row r="89" spans="13:19" x14ac:dyDescent="0.35">
      <c r="M89">
        <v>1</v>
      </c>
      <c r="N89">
        <v>6</v>
      </c>
      <c r="O89">
        <v>5</v>
      </c>
      <c r="P89">
        <v>493</v>
      </c>
      <c r="Q89">
        <v>507</v>
      </c>
      <c r="R89">
        <v>14</v>
      </c>
      <c r="S89">
        <v>0</v>
      </c>
    </row>
    <row r="90" spans="13:19" x14ac:dyDescent="0.35">
      <c r="M90">
        <v>2</v>
      </c>
      <c r="N90">
        <v>5</v>
      </c>
      <c r="O90">
        <v>6</v>
      </c>
      <c r="P90">
        <v>522</v>
      </c>
      <c r="Q90">
        <v>536</v>
      </c>
      <c r="R90">
        <v>14</v>
      </c>
      <c r="S90">
        <v>4</v>
      </c>
    </row>
    <row r="91" spans="13:19" x14ac:dyDescent="0.35">
      <c r="M91">
        <v>3</v>
      </c>
      <c r="N91">
        <v>6</v>
      </c>
      <c r="O91">
        <v>5</v>
      </c>
      <c r="P91">
        <v>680</v>
      </c>
      <c r="Q91">
        <v>694</v>
      </c>
      <c r="R91">
        <v>14</v>
      </c>
      <c r="S91">
        <v>1</v>
      </c>
    </row>
    <row r="92" spans="13:19" x14ac:dyDescent="0.35">
      <c r="M92">
        <v>4</v>
      </c>
      <c r="N92">
        <v>5</v>
      </c>
      <c r="O92">
        <v>6</v>
      </c>
      <c r="P92">
        <v>709</v>
      </c>
      <c r="Q92">
        <v>723</v>
      </c>
      <c r="R92">
        <v>14</v>
      </c>
      <c r="S92">
        <v>4</v>
      </c>
    </row>
    <row r="94" spans="13:19" x14ac:dyDescent="0.35">
      <c r="M94" t="s">
        <v>54</v>
      </c>
      <c r="N94">
        <v>17</v>
      </c>
    </row>
    <row r="95" spans="13:19" x14ac:dyDescent="0.35">
      <c r="M95" t="s">
        <v>11</v>
      </c>
    </row>
    <row r="96" spans="13:19" x14ac:dyDescent="0.35">
      <c r="M96" t="s">
        <v>55</v>
      </c>
      <c r="N96" t="s">
        <v>56</v>
      </c>
      <c r="O96" t="s">
        <v>57</v>
      </c>
      <c r="P96" t="s">
        <v>58</v>
      </c>
      <c r="Q96" t="s">
        <v>59</v>
      </c>
      <c r="R96" t="s">
        <v>60</v>
      </c>
      <c r="S96" t="s">
        <v>61</v>
      </c>
    </row>
    <row r="97" spans="13:19" x14ac:dyDescent="0.35">
      <c r="M97" t="s">
        <v>11</v>
      </c>
    </row>
    <row r="98" spans="13:19" x14ac:dyDescent="0.35">
      <c r="M98">
        <v>1</v>
      </c>
      <c r="N98">
        <v>9</v>
      </c>
      <c r="O98">
        <v>5</v>
      </c>
      <c r="P98">
        <v>100</v>
      </c>
      <c r="Q98">
        <v>124</v>
      </c>
      <c r="R98">
        <v>24</v>
      </c>
      <c r="S98">
        <v>0</v>
      </c>
    </row>
    <row r="99" spans="13:19" x14ac:dyDescent="0.35">
      <c r="M99">
        <v>2</v>
      </c>
      <c r="N99">
        <v>5</v>
      </c>
      <c r="O99">
        <v>4</v>
      </c>
      <c r="P99">
        <v>554</v>
      </c>
      <c r="Q99">
        <v>573</v>
      </c>
      <c r="R99">
        <v>19</v>
      </c>
      <c r="S99">
        <v>4</v>
      </c>
    </row>
    <row r="100" spans="13:19" x14ac:dyDescent="0.35">
      <c r="M100">
        <v>3</v>
      </c>
      <c r="N100">
        <v>4</v>
      </c>
      <c r="O100">
        <v>9</v>
      </c>
      <c r="P100">
        <v>588</v>
      </c>
      <c r="Q100">
        <v>603</v>
      </c>
      <c r="R100">
        <v>15</v>
      </c>
      <c r="S100">
        <v>4</v>
      </c>
    </row>
    <row r="102" spans="13:19" x14ac:dyDescent="0.35">
      <c r="M102" t="s">
        <v>54</v>
      </c>
      <c r="N102">
        <v>19</v>
      </c>
    </row>
    <row r="103" spans="13:19" x14ac:dyDescent="0.35">
      <c r="M103" t="s">
        <v>11</v>
      </c>
    </row>
    <row r="104" spans="13:19" x14ac:dyDescent="0.35">
      <c r="M104" t="s">
        <v>55</v>
      </c>
      <c r="N104" t="s">
        <v>56</v>
      </c>
      <c r="O104" t="s">
        <v>57</v>
      </c>
      <c r="P104" t="s">
        <v>58</v>
      </c>
      <c r="Q104" t="s">
        <v>59</v>
      </c>
      <c r="R104" t="s">
        <v>60</v>
      </c>
      <c r="S104" t="s">
        <v>61</v>
      </c>
    </row>
    <row r="105" spans="13:19" x14ac:dyDescent="0.35">
      <c r="M105" t="s">
        <v>11</v>
      </c>
    </row>
    <row r="106" spans="13:19" x14ac:dyDescent="0.35">
      <c r="M106">
        <v>1</v>
      </c>
      <c r="N106">
        <v>10</v>
      </c>
      <c r="O106">
        <v>3</v>
      </c>
      <c r="P106">
        <v>168</v>
      </c>
      <c r="Q106">
        <v>187</v>
      </c>
      <c r="R106">
        <v>19</v>
      </c>
      <c r="S106">
        <v>0</v>
      </c>
    </row>
    <row r="107" spans="13:19" x14ac:dyDescent="0.35">
      <c r="M107">
        <v>2</v>
      </c>
      <c r="N107">
        <v>3</v>
      </c>
      <c r="O107">
        <v>6</v>
      </c>
      <c r="P107">
        <v>455</v>
      </c>
      <c r="Q107">
        <v>481</v>
      </c>
      <c r="R107">
        <v>26</v>
      </c>
      <c r="S107">
        <v>0</v>
      </c>
    </row>
    <row r="108" spans="13:19" x14ac:dyDescent="0.35">
      <c r="M108">
        <v>3</v>
      </c>
      <c r="N108">
        <v>6</v>
      </c>
      <c r="O108">
        <v>3</v>
      </c>
      <c r="P108">
        <v>597</v>
      </c>
      <c r="Q108">
        <v>623</v>
      </c>
      <c r="R108">
        <v>26</v>
      </c>
      <c r="S108">
        <v>4</v>
      </c>
    </row>
    <row r="110" spans="13:19" x14ac:dyDescent="0.35">
      <c r="M110" t="s">
        <v>54</v>
      </c>
      <c r="N110">
        <v>20</v>
      </c>
    </row>
    <row r="111" spans="13:19" x14ac:dyDescent="0.35">
      <c r="M111" t="s">
        <v>11</v>
      </c>
    </row>
    <row r="112" spans="13:19" x14ac:dyDescent="0.35">
      <c r="M112" t="s">
        <v>55</v>
      </c>
      <c r="N112" t="s">
        <v>56</v>
      </c>
      <c r="O112" t="s">
        <v>57</v>
      </c>
      <c r="P112" t="s">
        <v>58</v>
      </c>
      <c r="Q112" t="s">
        <v>59</v>
      </c>
      <c r="R112" t="s">
        <v>60</v>
      </c>
      <c r="S112" t="s">
        <v>61</v>
      </c>
    </row>
    <row r="113" spans="13:19" x14ac:dyDescent="0.35">
      <c r="M113" t="s">
        <v>11</v>
      </c>
    </row>
    <row r="114" spans="13:19" x14ac:dyDescent="0.35">
      <c r="M114">
        <v>1</v>
      </c>
      <c r="N114">
        <v>10</v>
      </c>
      <c r="O114">
        <v>3</v>
      </c>
      <c r="P114">
        <v>522</v>
      </c>
      <c r="Q114">
        <v>541</v>
      </c>
      <c r="R114">
        <v>19</v>
      </c>
      <c r="S114">
        <v>0</v>
      </c>
    </row>
    <row r="115" spans="13:19" x14ac:dyDescent="0.35">
      <c r="M115">
        <v>2</v>
      </c>
      <c r="N115">
        <v>3</v>
      </c>
      <c r="O115">
        <v>10</v>
      </c>
      <c r="P115">
        <v>556</v>
      </c>
      <c r="Q115">
        <v>575</v>
      </c>
      <c r="R115">
        <v>19</v>
      </c>
      <c r="S115">
        <v>4</v>
      </c>
    </row>
    <row r="116" spans="13:19" x14ac:dyDescent="0.35">
      <c r="M116">
        <v>3</v>
      </c>
      <c r="N116">
        <v>10</v>
      </c>
      <c r="O116">
        <v>1</v>
      </c>
      <c r="P116">
        <v>590</v>
      </c>
      <c r="Q116">
        <v>600</v>
      </c>
      <c r="R116">
        <v>10</v>
      </c>
      <c r="S116">
        <v>4</v>
      </c>
    </row>
    <row r="117" spans="13:19" x14ac:dyDescent="0.35">
      <c r="M117">
        <v>4</v>
      </c>
      <c r="N117">
        <v>1</v>
      </c>
      <c r="O117">
        <v>4</v>
      </c>
      <c r="P117">
        <v>626</v>
      </c>
      <c r="Q117">
        <v>656</v>
      </c>
      <c r="R117">
        <v>30</v>
      </c>
      <c r="S117">
        <v>0</v>
      </c>
    </row>
    <row r="118" spans="13:19" x14ac:dyDescent="0.35">
      <c r="M118">
        <v>5</v>
      </c>
      <c r="N118">
        <v>4</v>
      </c>
      <c r="O118">
        <v>10</v>
      </c>
      <c r="P118">
        <v>700</v>
      </c>
      <c r="Q118">
        <v>725</v>
      </c>
      <c r="R118">
        <v>25</v>
      </c>
      <c r="S118">
        <v>4</v>
      </c>
    </row>
    <row r="120" spans="13:19" x14ac:dyDescent="0.35">
      <c r="M120" t="s">
        <v>62</v>
      </c>
      <c r="N120" t="s">
        <v>63</v>
      </c>
      <c r="O12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Base case</vt:lpstr>
      <vt:lpstr>Sc. 1</vt:lpstr>
      <vt:lpstr>Sc. 2</vt:lpstr>
      <vt:lpstr>Sc. 3</vt:lpstr>
      <vt:lpstr>Sc 4</vt:lpstr>
      <vt:lpstr>Sc. 5 NEW</vt:lpstr>
      <vt:lpstr>Sc. 6 NEW</vt:lpstr>
      <vt:lpstr>Sc. 7</vt:lpstr>
      <vt:lpstr>Sc. 8</vt:lpstr>
      <vt:lpstr>SC. 9</vt:lpstr>
      <vt:lpstr>sc.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Møller Hansen</dc:creator>
  <cp:lastModifiedBy>Jonas Møller Hansen</cp:lastModifiedBy>
  <dcterms:created xsi:type="dcterms:W3CDTF">2026-06-22T06:13:52Z</dcterms:created>
  <dcterms:modified xsi:type="dcterms:W3CDTF">2026-06-28T10:31:21Z</dcterms:modified>
</cp:coreProperties>
</file>
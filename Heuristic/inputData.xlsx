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Heuristic\"/>
    </mc:Choice>
  </mc:AlternateContent>
  <xr:revisionPtr revIDLastSave="0" documentId="13_ncr:1_{67D8BB6A-01C8-469D-A575-7A5C2484BD49}" xr6:coauthVersionLast="47" xr6:coauthVersionMax="47" xr10:uidLastSave="{00000000-0000-0000-0000-000000000000}"/>
  <bookViews>
    <workbookView xWindow="-110" yWindow="-110" windowWidth="19420" windowHeight="11500" activeTab="3" xr2:uid="{63F903F0-DEEC-1344-9131-28787FF511C5}"/>
  </bookViews>
  <sheets>
    <sheet name="Parameters" sheetId="9" r:id="rId1"/>
    <sheet name="PlaneData" sheetId="7" r:id="rId2"/>
    <sheet name="PlaneData (2)" sheetId="8" r:id="rId3"/>
    <sheet name="Infrastructure" sheetId="1" r:id="rId4"/>
    <sheet name="PassengerGroups" sheetId="2" r:id="rId5"/>
    <sheet name="PassengerGroups (2)" sheetId="3" r:id="rId6"/>
    <sheet name="Infrastructure (2)" sheetId="4" r:id="rId7"/>
    <sheet name="Infrastructure (3)" sheetId="6" r:id="rId8"/>
    <sheet name="PassengerGroups (4)" sheetId="11" r:id="rId9"/>
    <sheet name="PassengerGroups (3)" sheetId="5" r:id="rId10"/>
    <sheet name="Sheet1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1" l="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L2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</calcChain>
</file>

<file path=xl/sharedStrings.xml><?xml version="1.0" encoding="utf-8"?>
<sst xmlns="http://schemas.openxmlformats.org/spreadsheetml/2006/main" count="126" uniqueCount="54">
  <si>
    <t>type</t>
  </si>
  <si>
    <t>vertiport</t>
  </si>
  <si>
    <t>id</t>
  </si>
  <si>
    <t>number_of_parking_pads</t>
  </si>
  <si>
    <t>coordinates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</si>
  <si>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</si>
  <si>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</si>
  <si>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</si>
  <si>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</si>
  <si>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</si>
  <si>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</si>
  <si>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</si>
  <si>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</si>
  <si>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</si>
  <si>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</si>
  <si>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</si>
  <si>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</si>
  <si>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</si>
  <si>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</si>
  <si>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</si>
  <si>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</si>
  <si>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coordinates_kbh</t>
  </si>
  <si>
    <t>(37.5655, 126.8013)</t>
  </si>
  <si>
    <t>(37.5176, 127.0867)</t>
  </si>
  <si>
    <t>Plane ID</t>
  </si>
  <si>
    <t>Base Vertiport</t>
  </si>
  <si>
    <t>cap_flt</t>
  </si>
  <si>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</si>
  <si>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</si>
  <si>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</si>
  <si>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</si>
  <si>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</si>
  <si>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</si>
  <si>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</si>
  <si>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</si>
  <si>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</si>
  <si>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</si>
  <si>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</si>
  <si>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rt_{i,j} = 0.6 min/km</t>
  </si>
  <si>
    <t>capacity of air corridor</t>
  </si>
  <si>
    <t>seat capacity of eVTOL</t>
  </si>
  <si>
    <t>5% battery charged per unit time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</si>
  <si>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</si>
  <si>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</si>
  <si>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</si>
  <si>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</si>
  <si>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</si>
  <si>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</si>
  <si>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</si>
  <si>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</si>
  <si>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</si>
  <si>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</si>
  <si>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Helper Column</t>
  </si>
  <si>
    <t xml:space="preserve">cap_v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</si>
</sst>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16"/>
  <sheetViews>
    <sheetView workbookViewId="0">
      <selection activeCell="B7" sqref="B7"/>
    </sheetView>
  </sheetViews>
  <sheetFormatPr defaultColWidth="11" defaultRowHeight="16"/>
  <cols>
    <col min="1" max="1" width="22.6640625" customWidth="1"/>
    <col min="2" max="2" width="10.83203125" style="5"/>
  </cols>
  <sheetData>
    <row r="1" spans="1:4">
      <c r="A1" t="s">
        <v>51</v>
      </c>
    </row>
    <row r="2" spans="1:4">
      <c r="A2" s="1" t="s">
        <v>50</v>
      </c>
      <c r="B2" s="5">
        <v>5</v>
      </c>
      <c r="D2" t="s">
        <v>34</v>
      </c>
    </row>
    <row r="3" spans="1:4">
      <c r="A3" t="s">
        <v>45</v>
      </c>
      <c r="B3" s="5">
        <v>0.75</v>
      </c>
      <c r="D3" t="s">
        <v>35</v>
      </c>
    </row>
    <row r="4" spans="1:4">
      <c r="A4" t="s">
        <v>46</v>
      </c>
      <c r="B4" s="5">
        <v>300</v>
      </c>
      <c r="D4" t="s">
        <v>40</v>
      </c>
    </row>
    <row r="5" spans="1:4">
      <c r="A5" t="s">
        <v>47</v>
      </c>
      <c r="B5" s="5">
        <v>1.51</v>
      </c>
      <c r="D5" t="s">
        <v>36</v>
      </c>
    </row>
    <row r="6" spans="1:4">
      <c r="A6" t="s">
        <v>48</v>
      </c>
      <c r="B6" s="5">
        <v>0.3</v>
      </c>
      <c r="D6" t="s">
        <v>37</v>
      </c>
    </row>
    <row r="7" spans="1:4">
      <c r="A7" t="s">
        <v>49</v>
      </c>
      <c r="B7" s="5">
        <v>0.2</v>
      </c>
      <c r="D7" t="s">
        <v>38</v>
      </c>
    </row>
    <row r="8" spans="1:4">
      <c r="A8" t="s">
        <v>53</v>
      </c>
    </row>
    <row r="9" spans="1:4">
      <c r="A9" t="s">
        <v>26</v>
      </c>
      <c r="B9" s="5">
        <v>1</v>
      </c>
      <c r="D9" t="s">
        <v>39</v>
      </c>
    </row>
    <row r="10" spans="1:4">
      <c r="A10" t="s">
        <v>27</v>
      </c>
      <c r="B10" s="5">
        <v>4</v>
      </c>
      <c r="D10" t="s">
        <v>40</v>
      </c>
    </row>
    <row r="11" spans="1:4">
      <c r="A11" t="s">
        <v>28</v>
      </c>
      <c r="B11" s="5">
        <v>100</v>
      </c>
      <c r="D11" s="4">
        <v>1</v>
      </c>
    </row>
    <row r="12" spans="1:4">
      <c r="A12" t="s">
        <v>29</v>
      </c>
      <c r="B12" s="5">
        <v>10</v>
      </c>
      <c r="D12" s="4">
        <v>0.1</v>
      </c>
    </row>
    <row r="13" spans="1:4">
      <c r="A13" t="s">
        <v>30</v>
      </c>
      <c r="B13" s="5">
        <v>5</v>
      </c>
      <c r="D13" s="4" t="s">
        <v>41</v>
      </c>
    </row>
    <row r="14" spans="1:4">
      <c r="A14" t="s">
        <v>31</v>
      </c>
      <c r="B14" s="5">
        <v>6</v>
      </c>
      <c r="D14" s="4" t="s">
        <v>42</v>
      </c>
    </row>
    <row r="15" spans="1:4">
      <c r="A15" t="s">
        <v>32</v>
      </c>
      <c r="B15" s="5">
        <v>20</v>
      </c>
      <c r="D15" s="4" t="s">
        <v>43</v>
      </c>
    </row>
    <row r="16" spans="1:4">
      <c r="A16" t="s">
        <v>33</v>
      </c>
      <c r="B16" s="5">
        <v>120</v>
      </c>
      <c r="D16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5"/>
  <sheetViews>
    <sheetView workbookViewId="0">
      <selection activeCell="C21" sqref="C21"/>
    </sheetView>
  </sheetViews>
  <sheetFormatPr defaultColWidth="8.83203125" defaultRowHeight="16"/>
  <cols>
    <col min="2" max="2" width="12.33203125" bestFit="1" customWidth="1"/>
  </cols>
  <sheetData>
    <row r="1" spans="1:2">
      <c r="A1" t="s">
        <v>24</v>
      </c>
      <c r="B1" t="s">
        <v>25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C4B-C23A-0343-9CD4-B20C0FE9227B}">
  <dimension ref="A1:B4"/>
  <sheetViews>
    <sheetView workbookViewId="0">
      <selection activeCell="E8" sqref="E8"/>
    </sheetView>
  </sheetViews>
  <sheetFormatPr defaultColWidth="8.83203125" defaultRowHeight="16"/>
  <cols>
    <col min="2" max="2" width="12.33203125" bestFit="1" customWidth="1"/>
  </cols>
  <sheetData>
    <row r="1" spans="1:2">
      <c r="A1" t="s">
        <v>24</v>
      </c>
      <c r="B1" t="s">
        <v>25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K6"/>
  <sheetViews>
    <sheetView tabSelected="1" workbookViewId="0">
      <selection activeCell="G10" sqref="G10"/>
    </sheetView>
  </sheetViews>
  <sheetFormatPr defaultColWidth="11" defaultRowHeight="16"/>
  <cols>
    <col min="3" max="3" width="22.5" customWidth="1"/>
  </cols>
  <sheetData>
    <row r="1" spans="1:11">
      <c r="A1" t="s">
        <v>0</v>
      </c>
      <c r="B1" t="s">
        <v>2</v>
      </c>
      <c r="C1" t="s">
        <v>3</v>
      </c>
      <c r="D1" t="s">
        <v>4</v>
      </c>
      <c r="E1" t="s">
        <v>21</v>
      </c>
      <c r="I1" t="s">
        <v>21</v>
      </c>
    </row>
    <row r="2" spans="1:11">
      <c r="A2" t="s">
        <v>1</v>
      </c>
      <c r="B2">
        <v>1</v>
      </c>
      <c r="C2">
        <v>2</v>
      </c>
      <c r="D2" s="1" t="s">
        <v>5</v>
      </c>
      <c r="E2" s="1" t="s">
        <v>5</v>
      </c>
      <c r="I2" s="1" t="s">
        <v>5</v>
      </c>
      <c r="K2" t="s">
        <v>8</v>
      </c>
    </row>
    <row r="3" spans="1:11">
      <c r="A3" t="s">
        <v>1</v>
      </c>
      <c r="B3">
        <v>2</v>
      </c>
      <c r="C3">
        <v>2</v>
      </c>
      <c r="D3" s="2" t="s">
        <v>6</v>
      </c>
      <c r="E3" s="2" t="s">
        <v>6</v>
      </c>
      <c r="I3" s="2" t="s">
        <v>6</v>
      </c>
      <c r="K3" t="s">
        <v>9</v>
      </c>
    </row>
    <row r="4" spans="1:11">
      <c r="A4" t="s">
        <v>1</v>
      </c>
      <c r="B4">
        <v>3</v>
      </c>
      <c r="C4">
        <v>1</v>
      </c>
      <c r="D4" s="2" t="s">
        <v>7</v>
      </c>
      <c r="E4" s="2" t="s">
        <v>7</v>
      </c>
      <c r="I4" s="2" t="s">
        <v>7</v>
      </c>
      <c r="K4" t="s">
        <v>10</v>
      </c>
    </row>
    <row r="5" spans="1:11">
      <c r="A5" t="s">
        <v>1</v>
      </c>
      <c r="B5">
        <v>4</v>
      </c>
      <c r="C5">
        <v>1</v>
      </c>
      <c r="D5" s="1" t="s">
        <v>11</v>
      </c>
      <c r="E5" s="1" t="s">
        <v>11</v>
      </c>
      <c r="I5" s="1" t="s">
        <v>11</v>
      </c>
      <c r="K5" t="s">
        <v>12</v>
      </c>
    </row>
    <row r="6" spans="1:11">
      <c r="A6" t="s">
        <v>1</v>
      </c>
      <c r="B6">
        <v>5</v>
      </c>
      <c r="C6">
        <v>1</v>
      </c>
      <c r="D6" s="1" t="s">
        <v>13</v>
      </c>
      <c r="E6" s="1" t="s">
        <v>13</v>
      </c>
      <c r="I6" s="1" t="s">
        <v>13</v>
      </c>
      <c r="K6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zoomScale="80" workbookViewId="0">
      <selection activeCell="I19" sqref="I19"/>
    </sheetView>
  </sheetViews>
  <sheetFormatPr defaultColWidth="11" defaultRowHeight="16"/>
  <cols>
    <col min="5" max="5" width="11.83203125" customWidth="1"/>
    <col min="6" max="6" width="11.5" customWidth="1"/>
  </cols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24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24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24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24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B7F4-A8F2-E74F-93E1-1ACB4B99B891}">
  <dimension ref="A1:F3"/>
  <sheetViews>
    <sheetView topLeftCell="R1" workbookViewId="0">
      <selection activeCell="H8" sqref="H8"/>
    </sheetView>
  </sheetViews>
  <sheetFormatPr defaultColWidth="11" defaultRowHeight="16"/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</v>
      </c>
      <c r="B2">
        <v>1</v>
      </c>
      <c r="C2">
        <v>2</v>
      </c>
      <c r="D2">
        <v>45</v>
      </c>
      <c r="E2">
        <v>3</v>
      </c>
      <c r="F2">
        <v>1</v>
      </c>
    </row>
    <row r="3" spans="1:6">
      <c r="A3">
        <v>2</v>
      </c>
      <c r="B3">
        <v>2</v>
      </c>
      <c r="C3">
        <v>1</v>
      </c>
      <c r="D3">
        <v>80</v>
      </c>
      <c r="E3">
        <v>3</v>
      </c>
      <c r="F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E97-9715-C248-8300-688A466787B4}">
  <dimension ref="A1:K6"/>
  <sheetViews>
    <sheetView workbookViewId="0">
      <selection activeCell="L6" sqref="L6"/>
    </sheetView>
  </sheetViews>
  <sheetFormatPr defaultColWidth="11" defaultRowHeight="16"/>
  <cols>
    <col min="3" max="3" width="12.5" customWidth="1"/>
  </cols>
  <sheetData>
    <row r="1" spans="1:11">
      <c r="A1" t="s">
        <v>0</v>
      </c>
      <c r="B1" t="s">
        <v>2</v>
      </c>
      <c r="C1" t="s">
        <v>3</v>
      </c>
      <c r="D1" t="s">
        <v>4</v>
      </c>
      <c r="I1" t="s">
        <v>21</v>
      </c>
    </row>
    <row r="2" spans="1:11">
      <c r="A2" t="s">
        <v>1</v>
      </c>
      <c r="B2">
        <v>1</v>
      </c>
      <c r="C2">
        <v>2</v>
      </c>
      <c r="D2" t="s">
        <v>22</v>
      </c>
      <c r="I2" s="1" t="s">
        <v>5</v>
      </c>
      <c r="K2" t="s">
        <v>8</v>
      </c>
    </row>
    <row r="3" spans="1:11">
      <c r="A3" t="s">
        <v>1</v>
      </c>
      <c r="B3">
        <v>2</v>
      </c>
      <c r="C3">
        <v>2</v>
      </c>
      <c r="D3" t="s">
        <v>23</v>
      </c>
      <c r="I3" s="2" t="s">
        <v>6</v>
      </c>
      <c r="K3" t="s">
        <v>9</v>
      </c>
    </row>
    <row r="4" spans="1:11">
      <c r="I4" s="2"/>
    </row>
    <row r="5" spans="1:11">
      <c r="I5" s="1"/>
    </row>
    <row r="6" spans="1:11">
      <c r="I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4F2A-161E-4502-9547-1DD0A31CBA64}">
  <dimension ref="A1:G6"/>
  <sheetViews>
    <sheetView workbookViewId="0">
      <selection activeCell="D1" sqref="D1:E6"/>
    </sheetView>
  </sheetViews>
  <sheetFormatPr defaultColWidth="11" defaultRowHeight="16"/>
  <cols>
    <col min="3" max="3" width="12.5" customWidth="1"/>
    <col min="4" max="4" width="17.5" bestFit="1" customWidth="1"/>
    <col min="5" max="5" width="20.5" bestFit="1" customWidth="1"/>
  </cols>
  <sheetData>
    <row r="1" spans="1:7">
      <c r="A1" t="s">
        <v>0</v>
      </c>
      <c r="B1" t="s">
        <v>2</v>
      </c>
      <c r="C1" t="s">
        <v>3</v>
      </c>
      <c r="D1" t="s">
        <v>4</v>
      </c>
      <c r="E1" t="s">
        <v>21</v>
      </c>
    </row>
    <row r="2" spans="1:7">
      <c r="A2" t="s">
        <v>1</v>
      </c>
      <c r="B2">
        <v>1</v>
      </c>
      <c r="C2">
        <v>2</v>
      </c>
      <c r="D2" s="1" t="s">
        <v>5</v>
      </c>
      <c r="E2" s="1" t="s">
        <v>5</v>
      </c>
      <c r="G2" t="s">
        <v>8</v>
      </c>
    </row>
    <row r="3" spans="1:7">
      <c r="A3" t="s">
        <v>1</v>
      </c>
      <c r="B3">
        <v>2</v>
      </c>
      <c r="C3">
        <v>2</v>
      </c>
      <c r="D3" s="2" t="s">
        <v>6</v>
      </c>
      <c r="E3" s="2" t="s">
        <v>6</v>
      </c>
      <c r="G3" t="s">
        <v>9</v>
      </c>
    </row>
    <row r="4" spans="1:7">
      <c r="A4" t="s">
        <v>1</v>
      </c>
      <c r="B4">
        <v>3</v>
      </c>
      <c r="C4">
        <v>2</v>
      </c>
      <c r="D4" s="2" t="s">
        <v>7</v>
      </c>
      <c r="E4" s="2" t="s">
        <v>7</v>
      </c>
      <c r="G4" t="s">
        <v>10</v>
      </c>
    </row>
    <row r="5" spans="1:7">
      <c r="A5" t="s">
        <v>1</v>
      </c>
      <c r="B5">
        <v>4</v>
      </c>
      <c r="C5">
        <v>2</v>
      </c>
      <c r="D5" s="1" t="s">
        <v>11</v>
      </c>
      <c r="E5" s="1" t="s">
        <v>11</v>
      </c>
      <c r="G5" t="s">
        <v>12</v>
      </c>
    </row>
    <row r="6" spans="1:7">
      <c r="A6" t="s">
        <v>1</v>
      </c>
      <c r="B6">
        <v>5</v>
      </c>
      <c r="C6">
        <v>2</v>
      </c>
      <c r="D6" s="1" t="s">
        <v>13</v>
      </c>
      <c r="E6" s="1" t="s">
        <v>13</v>
      </c>
      <c r="G6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BDEA-DD83-4C31-B1A2-B93032C8B1F1}">
  <dimension ref="A1:X32"/>
  <sheetViews>
    <sheetView zoomScale="80" workbookViewId="0">
      <selection activeCell="D7" sqref="D7"/>
    </sheetView>
  </sheetViews>
  <sheetFormatPr defaultColWidth="11" defaultRowHeight="16"/>
  <cols>
    <col min="5" max="5" width="11.83203125" customWidth="1"/>
    <col min="6" max="6" width="11.5" customWidth="1"/>
  </cols>
  <sheetData>
    <row r="1" spans="1:1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I1" t="s">
        <v>52</v>
      </c>
    </row>
    <row r="2" spans="1:12">
      <c r="A2">
        <v>1</v>
      </c>
      <c r="B2">
        <v>1</v>
      </c>
      <c r="C2">
        <v>3</v>
      </c>
      <c r="D2">
        <f ca="1">RANDBETWEEN(10,120)</f>
        <v>62</v>
      </c>
      <c r="E2">
        <v>3</v>
      </c>
      <c r="F2">
        <v>1</v>
      </c>
      <c r="I2">
        <f ca="1">RANDBETWEEN(1,5)</f>
        <v>4</v>
      </c>
      <c r="K2">
        <f ca="1">RANDBETWEEN(1,5)</f>
        <v>2</v>
      </c>
      <c r="L2">
        <f ca="1">RANDBETWEEN(1,5)</f>
        <v>1</v>
      </c>
    </row>
    <row r="3" spans="1:12">
      <c r="A3">
        <v>2</v>
      </c>
      <c r="B3">
        <v>5</v>
      </c>
      <c r="C3">
        <v>4</v>
      </c>
      <c r="D3">
        <f t="shared" ref="D3:D21" ca="1" si="0">RANDBETWEEN(10,120)</f>
        <v>73</v>
      </c>
      <c r="E3">
        <v>3</v>
      </c>
      <c r="F3">
        <v>0</v>
      </c>
      <c r="I3">
        <f t="shared" ref="I3:I21" ca="1" si="1">RANDBETWEEN(1,5)</f>
        <v>1</v>
      </c>
      <c r="K3">
        <f t="shared" ref="K3:L21" ca="1" si="2">RANDBETWEEN(1,5)</f>
        <v>1</v>
      </c>
      <c r="L3">
        <f t="shared" ca="1" si="2"/>
        <v>5</v>
      </c>
    </row>
    <row r="4" spans="1:12">
      <c r="A4">
        <v>3</v>
      </c>
      <c r="B4">
        <v>3</v>
      </c>
      <c r="C4">
        <v>1</v>
      </c>
      <c r="D4">
        <f t="shared" ca="1" si="0"/>
        <v>60</v>
      </c>
      <c r="E4">
        <v>2</v>
      </c>
      <c r="F4">
        <v>0</v>
      </c>
      <c r="I4">
        <f t="shared" ca="1" si="1"/>
        <v>2</v>
      </c>
      <c r="K4">
        <f t="shared" ca="1" si="2"/>
        <v>3</v>
      </c>
      <c r="L4">
        <f t="shared" ca="1" si="2"/>
        <v>2</v>
      </c>
    </row>
    <row r="5" spans="1:12">
      <c r="A5">
        <v>4</v>
      </c>
      <c r="B5">
        <v>1</v>
      </c>
      <c r="C5">
        <v>3</v>
      </c>
      <c r="D5">
        <f t="shared" ca="1" si="0"/>
        <v>100</v>
      </c>
      <c r="E5">
        <v>4</v>
      </c>
      <c r="F5">
        <v>0</v>
      </c>
      <c r="I5">
        <f t="shared" ca="1" si="1"/>
        <v>5</v>
      </c>
      <c r="K5">
        <f t="shared" ca="1" si="2"/>
        <v>4</v>
      </c>
      <c r="L5">
        <f t="shared" ca="1" si="2"/>
        <v>1</v>
      </c>
    </row>
    <row r="6" spans="1:12">
      <c r="A6">
        <v>5</v>
      </c>
      <c r="B6">
        <v>4</v>
      </c>
      <c r="C6">
        <v>1</v>
      </c>
      <c r="D6">
        <f t="shared" ca="1" si="0"/>
        <v>43</v>
      </c>
      <c r="E6">
        <v>1</v>
      </c>
      <c r="F6">
        <v>0</v>
      </c>
      <c r="I6">
        <f t="shared" ca="1" si="1"/>
        <v>3</v>
      </c>
      <c r="K6">
        <f t="shared" ca="1" si="2"/>
        <v>5</v>
      </c>
      <c r="L6">
        <f t="shared" ca="1" si="2"/>
        <v>1</v>
      </c>
    </row>
    <row r="7" spans="1:12">
      <c r="A7">
        <v>6</v>
      </c>
      <c r="B7">
        <v>4</v>
      </c>
      <c r="C7">
        <v>2</v>
      </c>
      <c r="D7">
        <f t="shared" ca="1" si="0"/>
        <v>118</v>
      </c>
      <c r="E7">
        <v>1</v>
      </c>
      <c r="F7">
        <v>1</v>
      </c>
      <c r="I7">
        <f t="shared" ca="1" si="1"/>
        <v>1</v>
      </c>
      <c r="K7">
        <f t="shared" ca="1" si="2"/>
        <v>1</v>
      </c>
      <c r="L7">
        <f t="shared" ca="1" si="2"/>
        <v>2</v>
      </c>
    </row>
    <row r="8" spans="1:12">
      <c r="A8">
        <v>7</v>
      </c>
      <c r="B8">
        <v>4</v>
      </c>
      <c r="C8">
        <v>3</v>
      </c>
      <c r="D8">
        <f t="shared" ca="1" si="0"/>
        <v>58</v>
      </c>
      <c r="E8">
        <v>1</v>
      </c>
      <c r="F8">
        <v>1</v>
      </c>
      <c r="I8">
        <f t="shared" ca="1" si="1"/>
        <v>3</v>
      </c>
      <c r="K8">
        <f t="shared" ca="1" si="2"/>
        <v>4</v>
      </c>
      <c r="L8">
        <f t="shared" ca="1" si="2"/>
        <v>4</v>
      </c>
    </row>
    <row r="9" spans="1:12">
      <c r="A9">
        <v>8</v>
      </c>
      <c r="B9">
        <v>4</v>
      </c>
      <c r="C9">
        <v>2</v>
      </c>
      <c r="D9">
        <f t="shared" ca="1" si="0"/>
        <v>16</v>
      </c>
      <c r="E9">
        <v>2</v>
      </c>
      <c r="F9">
        <v>1</v>
      </c>
      <c r="I9">
        <f t="shared" ca="1" si="1"/>
        <v>4</v>
      </c>
      <c r="K9">
        <f t="shared" ca="1" si="2"/>
        <v>3</v>
      </c>
      <c r="L9">
        <f t="shared" ca="1" si="2"/>
        <v>4</v>
      </c>
    </row>
    <row r="10" spans="1:12">
      <c r="A10">
        <v>9</v>
      </c>
      <c r="B10">
        <v>3</v>
      </c>
      <c r="C10">
        <v>4</v>
      </c>
      <c r="D10">
        <f t="shared" ca="1" si="0"/>
        <v>80</v>
      </c>
      <c r="E10">
        <v>3</v>
      </c>
      <c r="F10">
        <v>0</v>
      </c>
      <c r="I10">
        <f t="shared" ca="1" si="1"/>
        <v>4</v>
      </c>
      <c r="K10">
        <f t="shared" ca="1" si="2"/>
        <v>2</v>
      </c>
      <c r="L10">
        <f t="shared" ca="1" si="2"/>
        <v>3</v>
      </c>
    </row>
    <row r="11" spans="1:12">
      <c r="A11">
        <v>10</v>
      </c>
      <c r="B11">
        <v>3</v>
      </c>
      <c r="C11">
        <v>4</v>
      </c>
      <c r="D11">
        <f t="shared" ca="1" si="0"/>
        <v>24</v>
      </c>
      <c r="E11">
        <v>1</v>
      </c>
      <c r="F11">
        <v>1</v>
      </c>
      <c r="I11">
        <f t="shared" ca="1" si="1"/>
        <v>3</v>
      </c>
      <c r="K11">
        <f t="shared" ca="1" si="2"/>
        <v>3</v>
      </c>
      <c r="L11">
        <f t="shared" ca="1" si="2"/>
        <v>3</v>
      </c>
    </row>
    <row r="12" spans="1:12">
      <c r="A12">
        <v>11</v>
      </c>
      <c r="B12">
        <v>3</v>
      </c>
      <c r="C12">
        <v>2</v>
      </c>
      <c r="D12">
        <f t="shared" ca="1" si="0"/>
        <v>54</v>
      </c>
      <c r="E12">
        <v>1</v>
      </c>
      <c r="F12">
        <v>0</v>
      </c>
      <c r="I12">
        <f t="shared" ca="1" si="1"/>
        <v>5</v>
      </c>
      <c r="K12">
        <f t="shared" ca="1" si="2"/>
        <v>3</v>
      </c>
      <c r="L12">
        <f t="shared" ca="1" si="2"/>
        <v>1</v>
      </c>
    </row>
    <row r="13" spans="1:12">
      <c r="A13">
        <v>12</v>
      </c>
      <c r="B13">
        <v>4</v>
      </c>
      <c r="C13">
        <v>5</v>
      </c>
      <c r="D13">
        <f t="shared" ca="1" si="0"/>
        <v>23</v>
      </c>
      <c r="E13">
        <v>2</v>
      </c>
      <c r="F13">
        <v>1</v>
      </c>
      <c r="I13">
        <f t="shared" ca="1" si="1"/>
        <v>4</v>
      </c>
      <c r="K13">
        <f t="shared" ca="1" si="2"/>
        <v>3</v>
      </c>
      <c r="L13">
        <f t="shared" ca="1" si="2"/>
        <v>3</v>
      </c>
    </row>
    <row r="14" spans="1:12">
      <c r="A14">
        <v>13</v>
      </c>
      <c r="B14">
        <v>4</v>
      </c>
      <c r="C14">
        <v>2</v>
      </c>
      <c r="D14">
        <f t="shared" ca="1" si="0"/>
        <v>111</v>
      </c>
      <c r="E14">
        <v>2</v>
      </c>
      <c r="F14">
        <v>1</v>
      </c>
      <c r="I14">
        <f t="shared" ca="1" si="1"/>
        <v>1</v>
      </c>
      <c r="K14">
        <f t="shared" ca="1" si="2"/>
        <v>3</v>
      </c>
      <c r="L14">
        <f t="shared" ca="1" si="2"/>
        <v>1</v>
      </c>
    </row>
    <row r="15" spans="1:12">
      <c r="A15">
        <v>14</v>
      </c>
      <c r="B15">
        <v>3</v>
      </c>
      <c r="C15">
        <v>2</v>
      </c>
      <c r="D15">
        <f t="shared" ca="1" si="0"/>
        <v>84</v>
      </c>
      <c r="E15">
        <v>1</v>
      </c>
      <c r="F15">
        <v>0</v>
      </c>
      <c r="I15">
        <f t="shared" ca="1" si="1"/>
        <v>3</v>
      </c>
      <c r="K15">
        <f t="shared" ca="1" si="2"/>
        <v>3</v>
      </c>
      <c r="L15">
        <f t="shared" ca="1" si="2"/>
        <v>3</v>
      </c>
    </row>
    <row r="16" spans="1:12">
      <c r="A16">
        <v>15</v>
      </c>
      <c r="B16">
        <v>4</v>
      </c>
      <c r="C16">
        <v>5</v>
      </c>
      <c r="D16">
        <f t="shared" ca="1" si="0"/>
        <v>23</v>
      </c>
      <c r="E16">
        <v>3</v>
      </c>
      <c r="F16">
        <v>0</v>
      </c>
      <c r="I16">
        <f t="shared" ca="1" si="1"/>
        <v>4</v>
      </c>
      <c r="K16">
        <f t="shared" ca="1" si="2"/>
        <v>2</v>
      </c>
      <c r="L16">
        <f t="shared" ca="1" si="2"/>
        <v>1</v>
      </c>
    </row>
    <row r="17" spans="1:24">
      <c r="A17">
        <v>16</v>
      </c>
      <c r="B17">
        <v>4</v>
      </c>
      <c r="C17">
        <v>1</v>
      </c>
      <c r="D17">
        <f t="shared" ca="1" si="0"/>
        <v>102</v>
      </c>
      <c r="E17">
        <v>3</v>
      </c>
      <c r="F17">
        <v>1</v>
      </c>
      <c r="I17">
        <f t="shared" ca="1" si="1"/>
        <v>1</v>
      </c>
      <c r="K17">
        <f t="shared" ca="1" si="2"/>
        <v>2</v>
      </c>
      <c r="L17">
        <f t="shared" ca="1" si="2"/>
        <v>3</v>
      </c>
    </row>
    <row r="18" spans="1:24">
      <c r="A18">
        <v>17</v>
      </c>
      <c r="B18">
        <v>4</v>
      </c>
      <c r="C18">
        <v>2</v>
      </c>
      <c r="D18">
        <f t="shared" ca="1" si="0"/>
        <v>23</v>
      </c>
      <c r="E18">
        <v>2</v>
      </c>
      <c r="F18">
        <v>0</v>
      </c>
      <c r="I18">
        <f t="shared" ca="1" si="1"/>
        <v>2</v>
      </c>
      <c r="K18">
        <f t="shared" ca="1" si="2"/>
        <v>4</v>
      </c>
      <c r="L18">
        <f t="shared" ca="1" si="2"/>
        <v>3</v>
      </c>
    </row>
    <row r="19" spans="1:24">
      <c r="A19">
        <v>18</v>
      </c>
      <c r="B19">
        <v>2</v>
      </c>
      <c r="C19">
        <v>5</v>
      </c>
      <c r="D19">
        <f t="shared" ca="1" si="0"/>
        <v>91</v>
      </c>
      <c r="E19">
        <v>1</v>
      </c>
      <c r="F19">
        <v>0</v>
      </c>
      <c r="I19">
        <f t="shared" ca="1" si="1"/>
        <v>3</v>
      </c>
      <c r="K19">
        <f t="shared" ca="1" si="2"/>
        <v>5</v>
      </c>
      <c r="L19">
        <f t="shared" ca="1" si="2"/>
        <v>1</v>
      </c>
    </row>
    <row r="20" spans="1:24">
      <c r="A20">
        <v>19</v>
      </c>
      <c r="B20">
        <v>2</v>
      </c>
      <c r="C20">
        <v>3</v>
      </c>
      <c r="D20">
        <f t="shared" ca="1" si="0"/>
        <v>17</v>
      </c>
      <c r="E20">
        <v>2</v>
      </c>
      <c r="F20">
        <v>0</v>
      </c>
      <c r="I20">
        <f t="shared" ca="1" si="1"/>
        <v>5</v>
      </c>
      <c r="K20">
        <f t="shared" ca="1" si="2"/>
        <v>3</v>
      </c>
      <c r="L20">
        <f t="shared" ca="1" si="2"/>
        <v>5</v>
      </c>
    </row>
    <row r="21" spans="1:24">
      <c r="A21">
        <v>20</v>
      </c>
      <c r="B21">
        <v>4</v>
      </c>
      <c r="C21">
        <v>1</v>
      </c>
      <c r="D21">
        <f t="shared" ca="1" si="0"/>
        <v>102</v>
      </c>
      <c r="E21">
        <v>1</v>
      </c>
      <c r="F21">
        <v>0</v>
      </c>
      <c r="I21">
        <f t="shared" ca="1" si="1"/>
        <v>1</v>
      </c>
      <c r="K21">
        <f t="shared" ca="1" si="2"/>
        <v>2</v>
      </c>
      <c r="L21">
        <f t="shared" ca="1" si="2"/>
        <v>3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F6DF-5DC6-4F82-AD2C-07BC625FD2D9}">
  <dimension ref="A1:F8"/>
  <sheetViews>
    <sheetView workbookViewId="0">
      <selection activeCell="A3" sqref="A3:F3"/>
    </sheetView>
  </sheetViews>
  <sheetFormatPr defaultColWidth="11" defaultRowHeight="16"/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1</v>
      </c>
      <c r="B2">
        <v>2</v>
      </c>
      <c r="C2">
        <v>3</v>
      </c>
      <c r="D2">
        <v>25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50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70</v>
      </c>
      <c r="E4">
        <v>2</v>
      </c>
      <c r="F4">
        <v>1</v>
      </c>
    </row>
    <row r="5" spans="1:6">
      <c r="A5">
        <v>4</v>
      </c>
      <c r="B5">
        <v>1</v>
      </c>
      <c r="C5">
        <v>4</v>
      </c>
      <c r="D5">
        <v>40</v>
      </c>
      <c r="E5">
        <v>4</v>
      </c>
      <c r="F5">
        <v>1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5C3C-A1DF-48A5-A3F8-29AFDB8C103D}">
  <dimension ref="A1"/>
  <sheetViews>
    <sheetView workbookViewId="0"/>
  </sheetViews>
  <sheetFormatPr defaultColWidth="8.83203125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Parameters</vt:lpstr>
      <vt:lpstr>PlaneData</vt:lpstr>
      <vt:lpstr>PlaneData (2)</vt:lpstr>
      <vt:lpstr>Infrastructure</vt:lpstr>
      <vt:lpstr>PassengerGroups</vt:lpstr>
      <vt:lpstr>PassengerGroups (2)</vt:lpstr>
      <vt:lpstr>Infrastructure (2)</vt:lpstr>
      <vt:lpstr>Infrastructure (3)</vt:lpstr>
      <vt:lpstr>PassengerGroups (4)</vt:lpstr>
      <vt:lpstr>PassengerGroups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2026-04-23T12:15:13Z</dcterms:modified>
</cp:coreProperties>
</file>
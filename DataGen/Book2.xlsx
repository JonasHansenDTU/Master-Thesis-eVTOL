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DataGen/"/>
    </mc:Choice>
  </mc:AlternateContent>
  <xr:revisionPtr revIDLastSave="0" documentId="8_{6503E4B3-2401-1E4F-A4F9-CCB2A64E6F45}" xr6:coauthVersionLast="47" xr6:coauthVersionMax="47" xr10:uidLastSave="{00000000-0000-0000-0000-000000000000}"/>
  <bookViews>
    <workbookView xWindow="0" yWindow="740" windowWidth="29400" windowHeight="18380" xr2:uid="{290EFB0D-D5F4-2D41-B617-CC0D026FCA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9" i="1" l="1"/>
  <c r="E62" i="1" s="1"/>
  <c r="D59" i="1"/>
  <c r="C59" i="1"/>
  <c r="B59" i="1"/>
  <c r="B62" i="1"/>
  <c r="F60" i="1"/>
  <c r="F61" i="1"/>
  <c r="C62" i="1"/>
  <c r="D62" i="1"/>
  <c r="B60" i="1"/>
  <c r="C60" i="1"/>
  <c r="D60" i="1"/>
  <c r="E60" i="1"/>
  <c r="B61" i="1"/>
  <c r="C61" i="1"/>
  <c r="D61" i="1"/>
  <c r="E61" i="1"/>
  <c r="N55" i="1"/>
  <c r="N54" i="1"/>
  <c r="N53" i="1"/>
  <c r="C56" i="1"/>
  <c r="D56" i="1"/>
  <c r="E56" i="1"/>
  <c r="F56" i="1"/>
  <c r="G56" i="1"/>
  <c r="H56" i="1"/>
  <c r="I56" i="1"/>
  <c r="J56" i="1"/>
  <c r="K56" i="1"/>
  <c r="L56" i="1"/>
  <c r="M56" i="1"/>
  <c r="B56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C55" i="1"/>
  <c r="D55" i="1"/>
  <c r="E55" i="1"/>
  <c r="F55" i="1"/>
  <c r="G55" i="1"/>
  <c r="H55" i="1"/>
  <c r="I55" i="1"/>
  <c r="J55" i="1"/>
  <c r="K55" i="1"/>
  <c r="L55" i="1"/>
  <c r="M55" i="1"/>
  <c r="B55" i="1"/>
  <c r="B54" i="1"/>
  <c r="B53" i="1"/>
  <c r="N16" i="1"/>
  <c r="N15" i="1"/>
  <c r="N14" i="1"/>
  <c r="N10" i="1"/>
  <c r="N9" i="1"/>
  <c r="N8" i="1"/>
  <c r="N5" i="1"/>
  <c r="N3" i="1"/>
  <c r="N4" i="1"/>
  <c r="N2" i="1"/>
  <c r="F59" i="1"/>
  <c r="E65" i="1"/>
  <c r="E66" i="1" s="1"/>
</calcChain>
</file>

<file path=xl/sharedStrings.xml><?xml version="1.0" encoding="utf-8"?>
<sst xmlns="http://schemas.openxmlformats.org/spreadsheetml/2006/main" count="107" uniqueCount="20">
  <si>
    <t>Wind Speed (knots)</t>
  </si>
  <si>
    <t>Kastrup vinter</t>
  </si>
  <si>
    <t>N</t>
  </si>
  <si>
    <t>E</t>
  </si>
  <si>
    <t>S</t>
  </si>
  <si>
    <t>W</t>
  </si>
  <si>
    <t>Total</t>
  </si>
  <si>
    <t>% 1 – 9kts</t>
  </si>
  <si>
    <t>% 10 – 19kts</t>
  </si>
  <si>
    <t>% &gt;= 20kts</t>
  </si>
  <si>
    <t>Total (%)</t>
  </si>
  <si>
    <t>Kastrup sommer</t>
  </si>
  <si>
    <t>Billund vinter</t>
  </si>
  <si>
    <t>Billund sommer</t>
  </si>
  <si>
    <t>Aalborg vinter</t>
  </si>
  <si>
    <t>Aalborg sommer</t>
  </si>
  <si>
    <t>Århus vinter</t>
  </si>
  <si>
    <t>Århus sommer</t>
  </si>
  <si>
    <t>% total</t>
  </si>
  <si>
    <t>% 0 – 9kts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</si>
</sst>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39BF-EF92-8B42-BCBB-85163F624F18}">
  <dimension ref="A1:P66"/>
  <sheetViews>
    <sheetView tabSelected="1" topLeftCell="A50" zoomScale="164" workbookViewId="0">
      <selection activeCell="K53" sqref="K53:K54"/>
    </sheetView>
  </sheetViews>
  <sheetFormatPr baseColWidth="10" defaultRowHeight="16" x14ac:dyDescent="0.2"/>
  <cols>
    <col min="1" max="1" width="20" bestFit="1" customWidth="1"/>
  </cols>
  <sheetData>
    <row r="1" spans="1:16" x14ac:dyDescent="0.2">
      <c r="A1" s="1" t="s">
        <v>0</v>
      </c>
      <c r="B1" s="1" t="s">
        <v>2</v>
      </c>
      <c r="C1" s="1">
        <v>30</v>
      </c>
      <c r="D1" s="1">
        <v>60</v>
      </c>
      <c r="E1" s="1" t="s">
        <v>3</v>
      </c>
      <c r="F1" s="1">
        <v>120</v>
      </c>
      <c r="G1" s="1">
        <v>150</v>
      </c>
      <c r="H1" s="1" t="s">
        <v>4</v>
      </c>
      <c r="I1" s="1">
        <v>210</v>
      </c>
      <c r="J1" s="1">
        <v>240</v>
      </c>
      <c r="K1" s="1" t="s">
        <v>5</v>
      </c>
      <c r="L1" s="1">
        <v>300</v>
      </c>
      <c r="M1" s="1">
        <v>330</v>
      </c>
      <c r="N1" s="1" t="s">
        <v>6</v>
      </c>
      <c r="O1" s="1"/>
      <c r="P1" t="s">
        <v>1</v>
      </c>
    </row>
    <row r="2" spans="1:16" x14ac:dyDescent="0.2">
      <c r="A2" s="1" t="s">
        <v>7</v>
      </c>
      <c r="B2" s="2">
        <v>2.2000000000000002</v>
      </c>
      <c r="C2" s="2">
        <v>2.6</v>
      </c>
      <c r="D2" s="2">
        <v>3.1</v>
      </c>
      <c r="E2" s="2">
        <v>3.1</v>
      </c>
      <c r="F2" s="2">
        <v>2.4</v>
      </c>
      <c r="G2" s="2">
        <v>2.2999999999999998</v>
      </c>
      <c r="H2" s="2">
        <v>2.9</v>
      </c>
      <c r="I2" s="2">
        <v>4.9000000000000004</v>
      </c>
      <c r="J2" s="2">
        <v>5.0999999999999996</v>
      </c>
      <c r="K2" s="2">
        <v>6.5</v>
      </c>
      <c r="L2" s="2">
        <v>4</v>
      </c>
      <c r="M2" s="2">
        <v>2.8</v>
      </c>
      <c r="N2" s="1">
        <f>SUM(B2:M2)</f>
        <v>41.9</v>
      </c>
      <c r="O2" s="1"/>
    </row>
    <row r="3" spans="1:16" x14ac:dyDescent="0.2">
      <c r="A3" s="1" t="s">
        <v>8</v>
      </c>
      <c r="B3" s="2">
        <v>2.4</v>
      </c>
      <c r="C3" s="2">
        <v>2.5</v>
      </c>
      <c r="D3" s="2">
        <v>2.9</v>
      </c>
      <c r="E3" s="2">
        <v>3.4</v>
      </c>
      <c r="F3" s="2">
        <v>4.3</v>
      </c>
      <c r="G3" s="2">
        <v>4.0999999999999996</v>
      </c>
      <c r="H3" s="2">
        <v>4.3</v>
      </c>
      <c r="I3" s="2">
        <v>6.8</v>
      </c>
      <c r="J3" s="2">
        <v>8.9</v>
      </c>
      <c r="K3" s="2">
        <v>5.4</v>
      </c>
      <c r="L3" s="2">
        <v>3.2</v>
      </c>
      <c r="M3" s="2">
        <v>2</v>
      </c>
      <c r="N3" s="1">
        <f t="shared" ref="N3:N5" si="0">SUM(B3:M3)</f>
        <v>50.2</v>
      </c>
      <c r="O3" s="1"/>
    </row>
    <row r="4" spans="1:16" x14ac:dyDescent="0.2">
      <c r="A4" s="1" t="s">
        <v>9</v>
      </c>
      <c r="B4" s="2">
        <v>0.6</v>
      </c>
      <c r="C4" s="2">
        <v>0.3</v>
      </c>
      <c r="D4" s="2">
        <v>0.3</v>
      </c>
      <c r="E4" s="2">
        <v>0.1</v>
      </c>
      <c r="F4" s="2">
        <v>0.8</v>
      </c>
      <c r="G4" s="2">
        <v>0.6</v>
      </c>
      <c r="H4" s="2">
        <v>0.4</v>
      </c>
      <c r="I4" s="2">
        <v>0.6</v>
      </c>
      <c r="J4" s="2">
        <v>1.4</v>
      </c>
      <c r="K4" s="2">
        <v>1.1000000000000001</v>
      </c>
      <c r="L4" s="2">
        <v>0.6</v>
      </c>
      <c r="M4" s="2">
        <v>0.1</v>
      </c>
      <c r="N4" s="1">
        <f t="shared" si="0"/>
        <v>6.8999999999999986</v>
      </c>
      <c r="O4" s="1"/>
    </row>
    <row r="5" spans="1:16" x14ac:dyDescent="0.2">
      <c r="A5" s="1" t="s">
        <v>10</v>
      </c>
      <c r="B5" s="1">
        <v>5.0999999999999996</v>
      </c>
      <c r="C5" s="1">
        <v>5.5</v>
      </c>
      <c r="D5" s="1">
        <v>6.4</v>
      </c>
      <c r="E5" s="1">
        <v>6.6</v>
      </c>
      <c r="F5" s="1">
        <v>7.5</v>
      </c>
      <c r="G5" s="1">
        <v>7</v>
      </c>
      <c r="H5" s="1">
        <v>7.6</v>
      </c>
      <c r="I5" s="1">
        <v>12.4</v>
      </c>
      <c r="J5" s="1">
        <v>15.4</v>
      </c>
      <c r="K5" s="1">
        <v>13.1</v>
      </c>
      <c r="L5" s="1">
        <v>7.8</v>
      </c>
      <c r="M5" s="1">
        <v>4.9000000000000004</v>
      </c>
      <c r="N5" s="1">
        <f t="shared" si="0"/>
        <v>99.3</v>
      </c>
      <c r="O5" s="1"/>
    </row>
    <row r="7" spans="1:16" x14ac:dyDescent="0.2">
      <c r="A7" s="1" t="s">
        <v>0</v>
      </c>
      <c r="B7" s="1" t="s">
        <v>2</v>
      </c>
      <c r="C7" s="1">
        <v>30</v>
      </c>
      <c r="D7" s="1">
        <v>60</v>
      </c>
      <c r="E7" s="1" t="s">
        <v>3</v>
      </c>
      <c r="F7" s="1">
        <v>120</v>
      </c>
      <c r="G7" s="1">
        <v>150</v>
      </c>
      <c r="H7" s="1" t="s">
        <v>4</v>
      </c>
      <c r="I7" s="1">
        <v>210</v>
      </c>
      <c r="J7" s="1">
        <v>240</v>
      </c>
      <c r="K7" s="1" t="s">
        <v>5</v>
      </c>
      <c r="L7" s="1">
        <v>300</v>
      </c>
      <c r="M7" s="1">
        <v>330</v>
      </c>
      <c r="N7" s="1" t="s">
        <v>6</v>
      </c>
      <c r="P7" t="s">
        <v>11</v>
      </c>
    </row>
    <row r="8" spans="1:16" x14ac:dyDescent="0.2">
      <c r="A8" s="1" t="s">
        <v>7</v>
      </c>
      <c r="B8" s="2">
        <v>3.9</v>
      </c>
      <c r="C8" s="2">
        <v>3.9</v>
      </c>
      <c r="D8" s="2">
        <v>3.6</v>
      </c>
      <c r="E8" s="2">
        <v>3.4</v>
      </c>
      <c r="F8" s="2">
        <v>3.6</v>
      </c>
      <c r="G8" s="2">
        <v>5.9</v>
      </c>
      <c r="H8" s="2">
        <v>4.9000000000000004</v>
      </c>
      <c r="I8" s="2">
        <v>5.9</v>
      </c>
      <c r="J8" s="2">
        <v>6.6</v>
      </c>
      <c r="K8" s="2">
        <v>7.4</v>
      </c>
      <c r="L8" s="2">
        <v>4</v>
      </c>
      <c r="M8" s="2">
        <v>2.2000000000000002</v>
      </c>
      <c r="N8" s="1">
        <f>SUM(B8:M8)</f>
        <v>55.300000000000004</v>
      </c>
    </row>
    <row r="9" spans="1:16" x14ac:dyDescent="0.2">
      <c r="A9" s="1" t="s">
        <v>8</v>
      </c>
      <c r="B9" s="2">
        <v>2.2000000000000002</v>
      </c>
      <c r="C9" s="2">
        <v>1.1000000000000001</v>
      </c>
      <c r="D9" s="2">
        <v>1.4</v>
      </c>
      <c r="E9" s="2">
        <v>2.8</v>
      </c>
      <c r="F9" s="2">
        <v>2.5</v>
      </c>
      <c r="G9" s="2">
        <v>4.3</v>
      </c>
      <c r="H9" s="2">
        <v>3.4</v>
      </c>
      <c r="I9" s="2">
        <v>3.2</v>
      </c>
      <c r="J9" s="2">
        <v>6.5</v>
      </c>
      <c r="K9" s="2">
        <v>7.5</v>
      </c>
      <c r="L9" s="2">
        <v>5.0999999999999996</v>
      </c>
      <c r="M9" s="2">
        <v>1.4</v>
      </c>
      <c r="N9" s="1">
        <f t="shared" ref="N9:N10" si="1">SUM(B9:M9)</f>
        <v>41.4</v>
      </c>
    </row>
    <row r="10" spans="1:16" x14ac:dyDescent="0.2">
      <c r="A10" s="1" t="s">
        <v>9</v>
      </c>
      <c r="B10" s="2">
        <v>0.1</v>
      </c>
      <c r="C10" s="2">
        <v>0</v>
      </c>
      <c r="D10" s="2">
        <v>0</v>
      </c>
      <c r="E10" s="2">
        <v>0.1</v>
      </c>
      <c r="F10" s="2">
        <v>0</v>
      </c>
      <c r="G10" s="2">
        <v>0</v>
      </c>
      <c r="H10" s="2">
        <v>0</v>
      </c>
      <c r="I10" s="2">
        <v>0.2</v>
      </c>
      <c r="J10" s="2">
        <v>0.5</v>
      </c>
      <c r="K10" s="2">
        <v>0.6</v>
      </c>
      <c r="L10" s="2">
        <v>0.5</v>
      </c>
      <c r="M10" s="2">
        <v>0</v>
      </c>
      <c r="N10" s="1">
        <f t="shared" si="1"/>
        <v>2</v>
      </c>
    </row>
    <row r="11" spans="1:16" x14ac:dyDescent="0.2">
      <c r="A11" s="1" t="s">
        <v>10</v>
      </c>
      <c r="B11" s="1">
        <v>6.1</v>
      </c>
      <c r="C11" s="1">
        <v>5</v>
      </c>
      <c r="D11" s="1">
        <v>5</v>
      </c>
      <c r="E11" s="1">
        <v>6.2</v>
      </c>
      <c r="F11" s="1">
        <v>6.1</v>
      </c>
      <c r="G11" s="1">
        <v>10.199999999999999</v>
      </c>
      <c r="H11" s="1">
        <v>8.3000000000000007</v>
      </c>
      <c r="I11" s="1">
        <v>9.3000000000000007</v>
      </c>
      <c r="J11" s="1">
        <v>13.6</v>
      </c>
      <c r="K11" s="1">
        <v>15.5</v>
      </c>
      <c r="L11" s="1">
        <v>9.6</v>
      </c>
      <c r="M11" s="1">
        <v>3.7</v>
      </c>
      <c r="N11" s="1">
        <v>98.7</v>
      </c>
    </row>
    <row r="13" spans="1:16" x14ac:dyDescent="0.2">
      <c r="A13" s="1" t="s">
        <v>0</v>
      </c>
      <c r="B13" s="1" t="s">
        <v>2</v>
      </c>
      <c r="C13" s="1">
        <v>30</v>
      </c>
      <c r="D13" s="1">
        <v>60</v>
      </c>
      <c r="E13" s="1" t="s">
        <v>3</v>
      </c>
      <c r="F13" s="1">
        <v>120</v>
      </c>
      <c r="G13" s="1">
        <v>150</v>
      </c>
      <c r="H13" s="1" t="s">
        <v>4</v>
      </c>
      <c r="I13" s="1">
        <v>210</v>
      </c>
      <c r="J13" s="1">
        <v>240</v>
      </c>
      <c r="K13" s="1" t="s">
        <v>5</v>
      </c>
      <c r="L13" s="1">
        <v>300</v>
      </c>
      <c r="M13" s="1">
        <v>330</v>
      </c>
      <c r="N13" s="1" t="s">
        <v>6</v>
      </c>
      <c r="P13" t="s">
        <v>12</v>
      </c>
    </row>
    <row r="14" spans="1:16" x14ac:dyDescent="0.2">
      <c r="A14" s="1" t="s">
        <v>7</v>
      </c>
      <c r="B14" s="2">
        <v>3.6</v>
      </c>
      <c r="C14" s="2">
        <v>3.3</v>
      </c>
      <c r="D14" s="2">
        <v>2.9</v>
      </c>
      <c r="E14" s="2">
        <v>5.4</v>
      </c>
      <c r="F14" s="2">
        <v>9.4</v>
      </c>
      <c r="G14" s="2">
        <v>6.7</v>
      </c>
      <c r="H14" s="2">
        <v>6</v>
      </c>
      <c r="I14" s="2">
        <v>6.8</v>
      </c>
      <c r="J14" s="2">
        <v>6.5</v>
      </c>
      <c r="K14" s="2">
        <v>6.2</v>
      </c>
      <c r="L14" s="2">
        <v>4.3</v>
      </c>
      <c r="M14" s="2">
        <v>2.1</v>
      </c>
      <c r="N14" s="1">
        <f>SUM(B14:M14)</f>
        <v>63.199999999999996</v>
      </c>
    </row>
    <row r="15" spans="1:16" x14ac:dyDescent="0.2">
      <c r="A15" s="1" t="s">
        <v>8</v>
      </c>
      <c r="B15" s="2">
        <v>0.5</v>
      </c>
      <c r="C15" s="2">
        <v>0.9</v>
      </c>
      <c r="D15" s="2">
        <v>1.4</v>
      </c>
      <c r="E15" s="2">
        <v>3</v>
      </c>
      <c r="F15" s="2">
        <v>3.6</v>
      </c>
      <c r="G15" s="2">
        <v>0.8</v>
      </c>
      <c r="H15" s="2">
        <v>1.7</v>
      </c>
      <c r="I15" s="2">
        <v>5.0999999999999996</v>
      </c>
      <c r="J15" s="2">
        <v>4.5999999999999996</v>
      </c>
      <c r="K15" s="2">
        <v>4.4000000000000004</v>
      </c>
      <c r="L15" s="2">
        <v>3.2</v>
      </c>
      <c r="M15" s="2">
        <v>0.8</v>
      </c>
      <c r="N15" s="1">
        <f t="shared" ref="N15:N16" si="2">SUM(B15:M15)</f>
        <v>30</v>
      </c>
    </row>
    <row r="16" spans="1:16" x14ac:dyDescent="0.2">
      <c r="A16" s="1" t="s">
        <v>9</v>
      </c>
      <c r="B16" s="2">
        <v>0</v>
      </c>
      <c r="C16" s="2">
        <v>0</v>
      </c>
      <c r="D16" s="2">
        <v>0</v>
      </c>
      <c r="E16" s="2">
        <v>0</v>
      </c>
      <c r="F16" s="2">
        <v>0.1</v>
      </c>
      <c r="G16" s="2">
        <v>0</v>
      </c>
      <c r="H16" s="2">
        <v>0</v>
      </c>
      <c r="I16" s="2">
        <v>0.3</v>
      </c>
      <c r="J16" s="2">
        <v>0.6</v>
      </c>
      <c r="K16" s="2">
        <v>0.9</v>
      </c>
      <c r="L16" s="2">
        <v>0.4</v>
      </c>
      <c r="M16" s="2">
        <v>0</v>
      </c>
      <c r="N16" s="1">
        <f t="shared" si="2"/>
        <v>2.2999999999999998</v>
      </c>
    </row>
    <row r="17" spans="1:16" x14ac:dyDescent="0.2">
      <c r="A17" s="1" t="s">
        <v>10</v>
      </c>
      <c r="B17" s="1">
        <v>4.2</v>
      </c>
      <c r="C17" s="1">
        <v>4.2</v>
      </c>
      <c r="D17" s="1">
        <v>4.3</v>
      </c>
      <c r="E17" s="1">
        <v>8.5</v>
      </c>
      <c r="F17" s="1">
        <v>13.1</v>
      </c>
      <c r="G17" s="1">
        <v>7.5</v>
      </c>
      <c r="H17" s="1">
        <v>7.7</v>
      </c>
      <c r="I17" s="1">
        <v>12.2</v>
      </c>
      <c r="J17" s="1">
        <v>11.7</v>
      </c>
      <c r="K17" s="1">
        <v>11.5</v>
      </c>
      <c r="L17" s="1">
        <v>7.9</v>
      </c>
      <c r="M17" s="1">
        <v>3</v>
      </c>
      <c r="N17" s="1">
        <v>95.8</v>
      </c>
    </row>
    <row r="19" spans="1:16" x14ac:dyDescent="0.2">
      <c r="A19" s="1" t="s">
        <v>0</v>
      </c>
      <c r="B19" s="1" t="s">
        <v>2</v>
      </c>
      <c r="C19" s="1">
        <v>30</v>
      </c>
      <c r="D19" s="1">
        <v>60</v>
      </c>
      <c r="E19" s="1" t="s">
        <v>3</v>
      </c>
      <c r="F19" s="1">
        <v>120</v>
      </c>
      <c r="G19" s="1">
        <v>150</v>
      </c>
      <c r="H19" s="1" t="s">
        <v>4</v>
      </c>
      <c r="I19" s="1">
        <v>210</v>
      </c>
      <c r="J19" s="1">
        <v>240</v>
      </c>
      <c r="K19" s="1" t="s">
        <v>5</v>
      </c>
      <c r="L19" s="1">
        <v>300</v>
      </c>
      <c r="M19" s="1">
        <v>330</v>
      </c>
      <c r="N19" s="1" t="s">
        <v>6</v>
      </c>
      <c r="P19" t="s">
        <v>13</v>
      </c>
    </row>
    <row r="20" spans="1:16" x14ac:dyDescent="0.2">
      <c r="A20" s="1" t="s">
        <v>7</v>
      </c>
      <c r="B20" s="2">
        <v>3.2</v>
      </c>
      <c r="C20" s="2">
        <v>2.2999999999999998</v>
      </c>
      <c r="D20" s="2">
        <v>2.4</v>
      </c>
      <c r="E20" s="2">
        <v>6.6</v>
      </c>
      <c r="F20" s="2">
        <v>10.1</v>
      </c>
      <c r="G20" s="2">
        <v>4.5999999999999996</v>
      </c>
      <c r="H20" s="2">
        <v>5.3</v>
      </c>
      <c r="I20" s="2">
        <v>6.7</v>
      </c>
      <c r="J20" s="2">
        <v>8.1999999999999993</v>
      </c>
      <c r="K20" s="2">
        <v>8.9</v>
      </c>
      <c r="L20" s="2">
        <v>7</v>
      </c>
      <c r="M20" s="2">
        <v>2.7</v>
      </c>
      <c r="N20" s="1">
        <v>68</v>
      </c>
    </row>
    <row r="21" spans="1:16" x14ac:dyDescent="0.2">
      <c r="A21" s="1" t="s">
        <v>8</v>
      </c>
      <c r="B21" s="2">
        <v>0.2</v>
      </c>
      <c r="C21" s="2">
        <v>0.4</v>
      </c>
      <c r="D21" s="2">
        <v>1</v>
      </c>
      <c r="E21" s="2">
        <v>3.1</v>
      </c>
      <c r="F21" s="2">
        <v>1.6</v>
      </c>
      <c r="G21" s="2">
        <v>0.4</v>
      </c>
      <c r="H21" s="2">
        <v>0.5</v>
      </c>
      <c r="I21" s="2">
        <v>2.5</v>
      </c>
      <c r="J21" s="2">
        <v>3.9</v>
      </c>
      <c r="K21" s="2">
        <v>6.9</v>
      </c>
      <c r="L21" s="2">
        <v>5.7</v>
      </c>
      <c r="M21" s="2">
        <v>0.6</v>
      </c>
      <c r="N21" s="1">
        <v>27</v>
      </c>
    </row>
    <row r="22" spans="1:16" x14ac:dyDescent="0.2">
      <c r="A22" s="1" t="s">
        <v>9</v>
      </c>
      <c r="B22" s="2">
        <v>0</v>
      </c>
      <c r="C22" s="2">
        <v>0</v>
      </c>
      <c r="D22" s="2">
        <v>0</v>
      </c>
      <c r="E22" s="2">
        <v>0.1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0.2</v>
      </c>
      <c r="L22" s="2">
        <v>0.3</v>
      </c>
      <c r="M22" s="2">
        <v>0</v>
      </c>
      <c r="N22" s="1">
        <v>0.7</v>
      </c>
    </row>
    <row r="23" spans="1:16" x14ac:dyDescent="0.2">
      <c r="A23" s="1" t="s">
        <v>10</v>
      </c>
      <c r="B23" s="1">
        <v>3.4</v>
      </c>
      <c r="C23" s="1">
        <v>2.7</v>
      </c>
      <c r="D23" s="1">
        <v>3.4</v>
      </c>
      <c r="E23" s="1">
        <v>9.9</v>
      </c>
      <c r="F23" s="1">
        <v>11.7</v>
      </c>
      <c r="G23" s="1">
        <v>5</v>
      </c>
      <c r="H23" s="1">
        <v>5.9</v>
      </c>
      <c r="I23" s="1">
        <v>9.1999999999999993</v>
      </c>
      <c r="J23" s="1">
        <v>12.1</v>
      </c>
      <c r="K23" s="1">
        <v>16</v>
      </c>
      <c r="L23" s="1">
        <v>13.1</v>
      </c>
      <c r="M23" s="1">
        <v>3.3</v>
      </c>
      <c r="N23" s="1">
        <v>95.7</v>
      </c>
    </row>
    <row r="25" spans="1:16" x14ac:dyDescent="0.2">
      <c r="A25" s="1" t="s">
        <v>0</v>
      </c>
      <c r="B25" s="1" t="s">
        <v>2</v>
      </c>
      <c r="C25" s="1">
        <v>30</v>
      </c>
      <c r="D25" s="1">
        <v>60</v>
      </c>
      <c r="E25" s="1" t="s">
        <v>3</v>
      </c>
      <c r="F25" s="1">
        <v>120</v>
      </c>
      <c r="G25" s="1">
        <v>150</v>
      </c>
      <c r="H25" s="1" t="s">
        <v>4</v>
      </c>
      <c r="I25" s="1">
        <v>210</v>
      </c>
      <c r="J25" s="1">
        <v>240</v>
      </c>
      <c r="K25" s="1" t="s">
        <v>5</v>
      </c>
      <c r="L25" s="1">
        <v>300</v>
      </c>
      <c r="M25" s="1">
        <v>330</v>
      </c>
      <c r="N25" s="1" t="s">
        <v>6</v>
      </c>
      <c r="P25" t="s">
        <v>14</v>
      </c>
    </row>
    <row r="26" spans="1:16" x14ac:dyDescent="0.2">
      <c r="A26" s="1" t="s">
        <v>7</v>
      </c>
      <c r="B26" s="2">
        <v>3.5</v>
      </c>
      <c r="C26" s="2">
        <v>4.8</v>
      </c>
      <c r="D26" s="2">
        <v>4.2</v>
      </c>
      <c r="E26" s="2">
        <v>4.5999999999999996</v>
      </c>
      <c r="F26" s="2">
        <v>3.8</v>
      </c>
      <c r="G26" s="2">
        <v>4</v>
      </c>
      <c r="H26" s="2">
        <v>4.9000000000000004</v>
      </c>
      <c r="I26" s="2">
        <v>5.6</v>
      </c>
      <c r="J26" s="2">
        <v>6.5</v>
      </c>
      <c r="K26" s="2">
        <v>4.7</v>
      </c>
      <c r="L26" s="2">
        <v>3.3</v>
      </c>
      <c r="M26" s="2">
        <v>2.8</v>
      </c>
      <c r="N26" s="1">
        <v>52.7</v>
      </c>
    </row>
    <row r="27" spans="1:16" x14ac:dyDescent="0.2">
      <c r="A27" s="1" t="s">
        <v>8</v>
      </c>
      <c r="B27" s="2">
        <v>0.6</v>
      </c>
      <c r="C27" s="2">
        <v>0.6</v>
      </c>
      <c r="D27" s="2">
        <v>1.4</v>
      </c>
      <c r="E27" s="2">
        <v>3</v>
      </c>
      <c r="F27" s="2">
        <v>4.9000000000000004</v>
      </c>
      <c r="G27" s="2">
        <v>3.3</v>
      </c>
      <c r="H27" s="2">
        <v>3.7</v>
      </c>
      <c r="I27" s="2">
        <v>6.2</v>
      </c>
      <c r="J27" s="2">
        <v>7.2</v>
      </c>
      <c r="K27" s="2">
        <v>4.5999999999999996</v>
      </c>
      <c r="L27" s="2">
        <v>2.5</v>
      </c>
      <c r="M27" s="2">
        <v>0.5</v>
      </c>
      <c r="N27" s="1">
        <v>38.5</v>
      </c>
    </row>
    <row r="28" spans="1:16" x14ac:dyDescent="0.2">
      <c r="A28" s="1" t="s">
        <v>9</v>
      </c>
      <c r="B28" s="2">
        <v>0</v>
      </c>
      <c r="C28" s="2">
        <v>0</v>
      </c>
      <c r="D28" s="2">
        <v>0</v>
      </c>
      <c r="E28" s="2">
        <v>0.2</v>
      </c>
      <c r="F28" s="2">
        <v>0.9</v>
      </c>
      <c r="G28" s="2">
        <v>0.1</v>
      </c>
      <c r="H28" s="2">
        <v>0.2</v>
      </c>
      <c r="I28" s="2">
        <v>0.9</v>
      </c>
      <c r="J28" s="2">
        <v>1.9</v>
      </c>
      <c r="K28" s="2">
        <v>1.2</v>
      </c>
      <c r="L28" s="2">
        <v>0.4</v>
      </c>
      <c r="M28" s="2">
        <v>0</v>
      </c>
      <c r="N28" s="1">
        <v>5.9</v>
      </c>
    </row>
    <row r="29" spans="1:16" x14ac:dyDescent="0.2">
      <c r="A29" s="1" t="s">
        <v>10</v>
      </c>
      <c r="B29" s="1">
        <v>4.0999999999999996</v>
      </c>
      <c r="C29" s="1">
        <v>5.4</v>
      </c>
      <c r="D29" s="1">
        <v>5.7</v>
      </c>
      <c r="E29" s="1">
        <v>7.7</v>
      </c>
      <c r="F29" s="1">
        <v>9.6</v>
      </c>
      <c r="G29" s="1">
        <v>7.4</v>
      </c>
      <c r="H29" s="1">
        <v>8.8000000000000007</v>
      </c>
      <c r="I29" s="1">
        <v>12.7</v>
      </c>
      <c r="J29" s="1">
        <v>15.6</v>
      </c>
      <c r="K29" s="1">
        <v>10.5</v>
      </c>
      <c r="L29" s="1">
        <v>6.3</v>
      </c>
      <c r="M29" s="1">
        <v>3.4</v>
      </c>
      <c r="N29" s="1">
        <v>97.2</v>
      </c>
    </row>
    <row r="31" spans="1:16" x14ac:dyDescent="0.2">
      <c r="A31" s="1" t="s">
        <v>0</v>
      </c>
      <c r="B31" s="1" t="s">
        <v>2</v>
      </c>
      <c r="C31" s="1">
        <v>30</v>
      </c>
      <c r="D31" s="1">
        <v>60</v>
      </c>
      <c r="E31" s="1" t="s">
        <v>3</v>
      </c>
      <c r="F31" s="1">
        <v>120</v>
      </c>
      <c r="G31" s="1">
        <v>150</v>
      </c>
      <c r="H31" s="1" t="s">
        <v>4</v>
      </c>
      <c r="I31" s="1">
        <v>210</v>
      </c>
      <c r="J31" s="1">
        <v>240</v>
      </c>
      <c r="K31" s="1" t="s">
        <v>5</v>
      </c>
      <c r="L31" s="1">
        <v>300</v>
      </c>
      <c r="M31" s="1">
        <v>330</v>
      </c>
      <c r="N31" s="1" t="s">
        <v>6</v>
      </c>
      <c r="P31" t="s">
        <v>15</v>
      </c>
    </row>
    <row r="32" spans="1:16" x14ac:dyDescent="0.2">
      <c r="A32" s="1" t="s">
        <v>7</v>
      </c>
      <c r="B32" s="2">
        <v>3.1</v>
      </c>
      <c r="C32" s="2">
        <v>3.2</v>
      </c>
      <c r="D32" s="2">
        <v>3.7</v>
      </c>
      <c r="E32" s="2">
        <v>6</v>
      </c>
      <c r="F32" s="2">
        <v>5.0999999999999996</v>
      </c>
      <c r="G32" s="2">
        <v>3.1</v>
      </c>
      <c r="H32" s="2">
        <v>4.3</v>
      </c>
      <c r="I32" s="2">
        <v>5.4</v>
      </c>
      <c r="J32" s="2">
        <v>5</v>
      </c>
      <c r="K32" s="2">
        <v>8.3000000000000007</v>
      </c>
      <c r="L32" s="2">
        <v>5.6</v>
      </c>
      <c r="M32" s="2">
        <v>3.7</v>
      </c>
      <c r="N32" s="1">
        <v>56.5</v>
      </c>
    </row>
    <row r="33" spans="1:16" x14ac:dyDescent="0.2">
      <c r="A33" s="1" t="s">
        <v>8</v>
      </c>
      <c r="B33" s="2">
        <v>0.3</v>
      </c>
      <c r="C33" s="2">
        <v>0.4</v>
      </c>
      <c r="D33" s="2">
        <v>0.7</v>
      </c>
      <c r="E33" s="2">
        <v>1.8</v>
      </c>
      <c r="F33" s="2">
        <v>5</v>
      </c>
      <c r="G33" s="2">
        <v>1.2</v>
      </c>
      <c r="H33" s="2">
        <v>1.5</v>
      </c>
      <c r="I33" s="2">
        <v>3.6</v>
      </c>
      <c r="J33" s="2">
        <v>7.8</v>
      </c>
      <c r="K33" s="2">
        <v>10.9</v>
      </c>
      <c r="L33" s="2">
        <v>3.9</v>
      </c>
      <c r="M33" s="2">
        <v>0.5</v>
      </c>
      <c r="N33" s="1">
        <v>37.5</v>
      </c>
    </row>
    <row r="34" spans="1:16" x14ac:dyDescent="0.2">
      <c r="A34" s="1" t="s">
        <v>9</v>
      </c>
      <c r="B34" s="2">
        <v>0</v>
      </c>
      <c r="C34" s="2">
        <v>0</v>
      </c>
      <c r="D34" s="2">
        <v>0</v>
      </c>
      <c r="E34" s="2">
        <v>0</v>
      </c>
      <c r="F34" s="2">
        <v>0.2</v>
      </c>
      <c r="G34" s="2">
        <v>0</v>
      </c>
      <c r="H34" s="2">
        <v>0</v>
      </c>
      <c r="I34" s="2">
        <v>0.2</v>
      </c>
      <c r="J34" s="2">
        <v>0.9</v>
      </c>
      <c r="K34" s="2">
        <v>0.8</v>
      </c>
      <c r="L34" s="2">
        <v>0.3</v>
      </c>
      <c r="M34" s="2">
        <v>0</v>
      </c>
      <c r="N34" s="1">
        <v>2.5</v>
      </c>
    </row>
    <row r="35" spans="1:16" x14ac:dyDescent="0.2">
      <c r="A35" s="1" t="s">
        <v>10</v>
      </c>
      <c r="B35" s="1">
        <v>3.4</v>
      </c>
      <c r="C35" s="1">
        <v>3.6</v>
      </c>
      <c r="D35" s="1">
        <v>4.4000000000000004</v>
      </c>
      <c r="E35" s="1">
        <v>7.8</v>
      </c>
      <c r="F35" s="1">
        <v>10.3</v>
      </c>
      <c r="G35" s="1">
        <v>4.3</v>
      </c>
      <c r="H35" s="1">
        <v>5.9</v>
      </c>
      <c r="I35" s="1">
        <v>9.1999999999999993</v>
      </c>
      <c r="J35" s="1">
        <v>13.6</v>
      </c>
      <c r="K35" s="1">
        <v>20</v>
      </c>
      <c r="L35" s="1">
        <v>9.6999999999999993</v>
      </c>
      <c r="M35" s="1">
        <v>4.2</v>
      </c>
      <c r="N35" s="1">
        <v>96.5</v>
      </c>
    </row>
    <row r="37" spans="1:16" x14ac:dyDescent="0.2">
      <c r="A37" s="1" t="s">
        <v>0</v>
      </c>
      <c r="B37" s="1" t="s">
        <v>2</v>
      </c>
      <c r="C37" s="1">
        <v>30</v>
      </c>
      <c r="D37" s="1">
        <v>60</v>
      </c>
      <c r="E37" s="1" t="s">
        <v>3</v>
      </c>
      <c r="F37" s="1">
        <v>120</v>
      </c>
      <c r="G37" s="1">
        <v>150</v>
      </c>
      <c r="H37" s="1" t="s">
        <v>4</v>
      </c>
      <c r="I37" s="1">
        <v>210</v>
      </c>
      <c r="J37" s="1">
        <v>240</v>
      </c>
      <c r="K37" s="1" t="s">
        <v>5</v>
      </c>
      <c r="L37" s="1">
        <v>300</v>
      </c>
      <c r="M37" s="1">
        <v>330</v>
      </c>
      <c r="N37" s="1" t="s">
        <v>6</v>
      </c>
      <c r="P37" t="s">
        <v>16</v>
      </c>
    </row>
    <row r="38" spans="1:16" x14ac:dyDescent="0.2">
      <c r="A38" s="1" t="s">
        <v>7</v>
      </c>
      <c r="B38" s="2">
        <v>2.4</v>
      </c>
      <c r="C38" s="2">
        <v>2.7</v>
      </c>
      <c r="D38" s="2">
        <v>2.4</v>
      </c>
      <c r="E38" s="2">
        <v>2.5</v>
      </c>
      <c r="F38" s="2">
        <v>5.4</v>
      </c>
      <c r="G38" s="2">
        <v>6.6</v>
      </c>
      <c r="H38" s="2">
        <v>7.2</v>
      </c>
      <c r="I38" s="2">
        <v>10.3</v>
      </c>
      <c r="J38" s="2">
        <v>11.6</v>
      </c>
      <c r="K38" s="2">
        <v>8.1</v>
      </c>
      <c r="L38" s="2">
        <v>5</v>
      </c>
      <c r="M38" s="2">
        <v>2.2000000000000002</v>
      </c>
      <c r="N38" s="1">
        <v>66.599999999999994</v>
      </c>
    </row>
    <row r="39" spans="1:16" x14ac:dyDescent="0.2">
      <c r="A39" s="1" t="s">
        <v>8</v>
      </c>
      <c r="B39" s="2">
        <v>0.9</v>
      </c>
      <c r="C39" s="2">
        <v>1.3</v>
      </c>
      <c r="D39" s="2">
        <v>1.6</v>
      </c>
      <c r="E39" s="2">
        <v>2.4</v>
      </c>
      <c r="F39" s="2">
        <v>3.7</v>
      </c>
      <c r="G39" s="2">
        <v>2.1</v>
      </c>
      <c r="H39" s="2">
        <v>1.2</v>
      </c>
      <c r="I39" s="2">
        <v>2</v>
      </c>
      <c r="J39" s="2">
        <v>2.9</v>
      </c>
      <c r="K39" s="2">
        <v>5.6</v>
      </c>
      <c r="L39" s="2">
        <v>3.7</v>
      </c>
      <c r="M39" s="2">
        <v>0.8</v>
      </c>
      <c r="N39" s="1">
        <v>28.2</v>
      </c>
    </row>
    <row r="40" spans="1:16" x14ac:dyDescent="0.2">
      <c r="A40" s="1" t="s">
        <v>9</v>
      </c>
      <c r="B40" s="2">
        <v>0</v>
      </c>
      <c r="C40" s="2">
        <v>0</v>
      </c>
      <c r="D40" s="2">
        <v>0.1</v>
      </c>
      <c r="E40" s="2">
        <v>0.1</v>
      </c>
      <c r="F40" s="2">
        <v>0.1</v>
      </c>
      <c r="G40" s="2">
        <v>0</v>
      </c>
      <c r="H40" s="2">
        <v>0</v>
      </c>
      <c r="I40" s="2">
        <v>0</v>
      </c>
      <c r="J40" s="2">
        <v>0</v>
      </c>
      <c r="K40" s="2">
        <v>0.7</v>
      </c>
      <c r="L40" s="2">
        <v>0.8</v>
      </c>
      <c r="M40" s="2">
        <v>0.1</v>
      </c>
      <c r="N40" s="1">
        <v>2</v>
      </c>
    </row>
    <row r="41" spans="1:16" x14ac:dyDescent="0.2">
      <c r="A41" s="1" t="s">
        <v>10</v>
      </c>
      <c r="B41" s="1">
        <v>3.3</v>
      </c>
      <c r="C41" s="1">
        <v>4</v>
      </c>
      <c r="D41" s="1">
        <v>4.2</v>
      </c>
      <c r="E41" s="1">
        <v>5</v>
      </c>
      <c r="F41" s="1">
        <v>9.1999999999999993</v>
      </c>
      <c r="G41" s="1">
        <v>8.6999999999999993</v>
      </c>
      <c r="H41" s="1">
        <v>8.4</v>
      </c>
      <c r="I41" s="1">
        <v>12.4</v>
      </c>
      <c r="J41" s="1">
        <v>14.6</v>
      </c>
      <c r="K41" s="1">
        <v>14.4</v>
      </c>
      <c r="L41" s="1">
        <v>9.4</v>
      </c>
      <c r="M41" s="1">
        <v>3.1</v>
      </c>
      <c r="N41" s="1">
        <v>96.7</v>
      </c>
    </row>
    <row r="43" spans="1:16" x14ac:dyDescent="0.2">
      <c r="A43" s="1" t="s">
        <v>0</v>
      </c>
      <c r="B43" s="1" t="s">
        <v>2</v>
      </c>
      <c r="C43" s="1">
        <v>30</v>
      </c>
      <c r="D43" s="1">
        <v>60</v>
      </c>
      <c r="E43" s="1" t="s">
        <v>3</v>
      </c>
      <c r="F43" s="1">
        <v>120</v>
      </c>
      <c r="G43" s="1">
        <v>150</v>
      </c>
      <c r="H43" s="1" t="s">
        <v>4</v>
      </c>
      <c r="I43" s="1">
        <v>210</v>
      </c>
      <c r="J43" s="1">
        <v>240</v>
      </c>
      <c r="K43" s="1" t="s">
        <v>5</v>
      </c>
      <c r="L43" s="1">
        <v>300</v>
      </c>
      <c r="M43" s="1">
        <v>330</v>
      </c>
      <c r="N43" s="1" t="s">
        <v>6</v>
      </c>
      <c r="P43" t="s">
        <v>17</v>
      </c>
    </row>
    <row r="44" spans="1:16" x14ac:dyDescent="0.2">
      <c r="A44" s="1" t="s">
        <v>7</v>
      </c>
      <c r="B44" s="2">
        <v>2.6</v>
      </c>
      <c r="C44" s="2">
        <v>2</v>
      </c>
      <c r="D44" s="2">
        <v>2.2999999999999998</v>
      </c>
      <c r="E44" s="2">
        <v>3.3</v>
      </c>
      <c r="F44" s="2">
        <v>6.6</v>
      </c>
      <c r="G44" s="2">
        <v>7.8</v>
      </c>
      <c r="H44" s="2">
        <v>8.1999999999999993</v>
      </c>
      <c r="I44" s="2">
        <v>8.1</v>
      </c>
      <c r="J44" s="2">
        <v>10.199999999999999</v>
      </c>
      <c r="K44" s="2">
        <v>10.6</v>
      </c>
      <c r="L44" s="2">
        <v>6</v>
      </c>
      <c r="M44" s="2">
        <v>2.6</v>
      </c>
      <c r="N44" s="1">
        <v>70.5</v>
      </c>
    </row>
    <row r="45" spans="1:16" x14ac:dyDescent="0.2">
      <c r="A45" s="1" t="s">
        <v>8</v>
      </c>
      <c r="B45" s="2">
        <v>0.6</v>
      </c>
      <c r="C45" s="2">
        <v>0.6</v>
      </c>
      <c r="D45" s="2">
        <v>1.2</v>
      </c>
      <c r="E45" s="2">
        <v>1.8</v>
      </c>
      <c r="F45" s="2">
        <v>2.2999999999999998</v>
      </c>
      <c r="G45" s="2">
        <v>0.7</v>
      </c>
      <c r="H45" s="2">
        <v>0.5</v>
      </c>
      <c r="I45" s="2">
        <v>0.5</v>
      </c>
      <c r="J45" s="2">
        <v>1.9</v>
      </c>
      <c r="K45" s="2">
        <v>8.1</v>
      </c>
      <c r="L45" s="2">
        <v>5.4</v>
      </c>
      <c r="M45" s="2">
        <v>0.6</v>
      </c>
      <c r="N45" s="1">
        <v>24.3</v>
      </c>
    </row>
    <row r="46" spans="1:16" x14ac:dyDescent="0.2">
      <c r="A46" s="1" t="s">
        <v>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0.4</v>
      </c>
      <c r="L46" s="2">
        <v>0.7</v>
      </c>
      <c r="M46" s="2">
        <v>0</v>
      </c>
      <c r="N46" s="1">
        <v>1.2</v>
      </c>
    </row>
    <row r="47" spans="1:16" x14ac:dyDescent="0.2">
      <c r="A47" s="1" t="s">
        <v>10</v>
      </c>
      <c r="B47" s="1">
        <v>3.2</v>
      </c>
      <c r="C47" s="1">
        <v>2.7</v>
      </c>
      <c r="D47" s="1">
        <v>3.5</v>
      </c>
      <c r="E47" s="1">
        <v>5.2</v>
      </c>
      <c r="F47" s="1">
        <v>9</v>
      </c>
      <c r="G47" s="1">
        <v>8.5</v>
      </c>
      <c r="H47" s="1">
        <v>8.6999999999999993</v>
      </c>
      <c r="I47" s="1">
        <v>8.6</v>
      </c>
      <c r="J47" s="1">
        <v>12.1</v>
      </c>
      <c r="K47" s="1">
        <v>19.100000000000001</v>
      </c>
      <c r="L47" s="1">
        <v>12.1</v>
      </c>
      <c r="M47" s="1">
        <v>3.3</v>
      </c>
      <c r="N47" s="1">
        <v>95.9</v>
      </c>
    </row>
    <row r="52" spans="1:14" x14ac:dyDescent="0.2">
      <c r="A52" s="1" t="s">
        <v>0</v>
      </c>
      <c r="B52" s="1" t="s">
        <v>2</v>
      </c>
      <c r="C52" s="1">
        <v>30</v>
      </c>
      <c r="D52" s="1">
        <v>60</v>
      </c>
      <c r="E52" s="1" t="s">
        <v>3</v>
      </c>
      <c r="F52" s="1">
        <v>120</v>
      </c>
      <c r="G52" s="1">
        <v>150</v>
      </c>
      <c r="H52" s="1" t="s">
        <v>4</v>
      </c>
      <c r="I52" s="1">
        <v>210</v>
      </c>
      <c r="J52" s="1">
        <v>240</v>
      </c>
      <c r="K52" s="1" t="s">
        <v>5</v>
      </c>
      <c r="L52" s="1">
        <v>300</v>
      </c>
      <c r="M52" s="1">
        <v>330</v>
      </c>
      <c r="N52" s="1" t="s">
        <v>18</v>
      </c>
    </row>
    <row r="53" spans="1:14" x14ac:dyDescent="0.2">
      <c r="A53" s="1" t="s">
        <v>7</v>
      </c>
      <c r="B53" s="3">
        <f>SUM(B2+B8+B14+B20+B26+B32+B38+B44)/8</f>
        <v>3.0625</v>
      </c>
      <c r="C53" s="3">
        <f>SUM(C2+C8+C14+C20+C26+C32+C38+C44)/8</f>
        <v>3.1</v>
      </c>
      <c r="D53" s="3">
        <f>SUM(D2+D8+D14+D20+D26+D32+D38+D44)/8</f>
        <v>3.0749999999999997</v>
      </c>
      <c r="E53" s="3">
        <f>SUM(E2+E8+E14+E20+E26+E32+E38+E44)/8</f>
        <v>4.3624999999999998</v>
      </c>
      <c r="F53" s="3">
        <f>SUM(F2+F8+F14+F20+F26+F32+F38+F44)/8</f>
        <v>5.8</v>
      </c>
      <c r="G53" s="3">
        <f>SUM(G2+G8+G14+G20+G26+G32+G38+G44)/8</f>
        <v>5.125</v>
      </c>
      <c r="H53" s="3">
        <f>SUM(H2+H8+H14+H20+H26+H32+H38+H44)/8</f>
        <v>5.4625000000000004</v>
      </c>
      <c r="I53" s="3">
        <f>SUM(I2+I8+I14+I20+I26+I32+I38+I44)/8</f>
        <v>6.7124999999999995</v>
      </c>
      <c r="J53" s="3">
        <f>SUM(J2+J8+J14+J20+J26+J32+J38+J44)/8</f>
        <v>7.4625000000000004</v>
      </c>
      <c r="K53" s="3">
        <f>SUM(K2+K8+K14+K20+K26+K32+K38+K44)/8</f>
        <v>7.5875000000000004</v>
      </c>
      <c r="L53" s="3">
        <f>SUM(L2+L8+L14+L20+L26+L32+L38+L44)/8</f>
        <v>4.9000000000000004</v>
      </c>
      <c r="M53" s="3">
        <f>SUM(M2+M8+M14+M20+M26+M32+M38+M44)/8</f>
        <v>2.6375000000000002</v>
      </c>
      <c r="N53" s="3">
        <f>SUM(B53:M53)</f>
        <v>59.287499999999994</v>
      </c>
    </row>
    <row r="54" spans="1:14" x14ac:dyDescent="0.2">
      <c r="A54" s="1" t="s">
        <v>8</v>
      </c>
      <c r="B54" s="3">
        <f>SUM(B3+B9+B15+B21+B27+B33+B39+B45)/8</f>
        <v>0.96249999999999991</v>
      </c>
      <c r="C54" s="3">
        <f>SUM(C3+C9+C15+C21+C27+C33+C39+C45)/8</f>
        <v>0.97499999999999998</v>
      </c>
      <c r="D54" s="3">
        <f>SUM(D3+D9+D15+D21+D27+D33+D39+D45)/8</f>
        <v>1.4499999999999997</v>
      </c>
      <c r="E54" s="3">
        <f>SUM(E3+E9+E15+E21+E27+E33+E39+E45)/8</f>
        <v>2.6624999999999996</v>
      </c>
      <c r="F54" s="3">
        <f>SUM(F3+F9+F15+F21+F27+F33+F39+F45)/8</f>
        <v>3.4874999999999998</v>
      </c>
      <c r="G54" s="3">
        <f>SUM(G3+G9+G15+G21+G27+G33+G39+G45)/8</f>
        <v>2.1124999999999998</v>
      </c>
      <c r="H54" s="3">
        <f>SUM(H3+H9+H15+H21+H27+H33+H39+H45)/8</f>
        <v>2.0999999999999996</v>
      </c>
      <c r="I54" s="3">
        <f>SUM(I3+I9+I15+I21+I27+I33+I39+I45)/8</f>
        <v>3.7375000000000003</v>
      </c>
      <c r="J54" s="3">
        <f>SUM(J3+J9+J15+J21+J27+J33+J39+J45)/8</f>
        <v>5.4624999999999995</v>
      </c>
      <c r="K54" s="3">
        <f>SUM(K3+K9+K15+K21+K27+K33+K39+K45)/8</f>
        <v>6.6750000000000007</v>
      </c>
      <c r="L54" s="3">
        <f>SUM(L3+L9+L15+L21+L27+L33+L39+L45)/8</f>
        <v>4.0874999999999995</v>
      </c>
      <c r="M54" s="3">
        <f>SUM(M3+M9+M15+M21+M27+M33+M39+M45)/8</f>
        <v>0.89999999999999991</v>
      </c>
      <c r="N54" s="3">
        <f>SUM(B54:M54)</f>
        <v>34.612499999999997</v>
      </c>
    </row>
    <row r="55" spans="1:14" x14ac:dyDescent="0.2">
      <c r="A55" s="1" t="s">
        <v>9</v>
      </c>
      <c r="B55" s="3">
        <f>SUM(B4+B10+B16+B22+B28+B34+B40+B46)/8</f>
        <v>8.7499999999999994E-2</v>
      </c>
      <c r="C55" s="3">
        <f>SUM(C4+C10+C16+C22+C28+C34+C40+C46)/8</f>
        <v>3.7499999999999999E-2</v>
      </c>
      <c r="D55" s="3">
        <f>SUM(D4+D10+D16+D22+D28+D34+D40+D46)/8</f>
        <v>0.05</v>
      </c>
      <c r="E55" s="3">
        <f>SUM(E4+E10+E16+E22+E28+E34+E40+E46)/8</f>
        <v>7.4999999999999997E-2</v>
      </c>
      <c r="F55" s="3">
        <f>SUM(F4+F10+F16+F22+F28+F34+F40+F46)/8</f>
        <v>0.26250000000000001</v>
      </c>
      <c r="G55" s="3">
        <f>SUM(G4+G10+G16+G22+G28+G34+G40+G46)/8</f>
        <v>8.7499999999999994E-2</v>
      </c>
      <c r="H55" s="3">
        <f>SUM(H4+H10+H16+H22+H28+H34+H40+H46)/8</f>
        <v>7.5000000000000011E-2</v>
      </c>
      <c r="I55" s="3">
        <f>SUM(I4+I10+I16+I22+I28+I34+I40+I46)/8</f>
        <v>0.27500000000000002</v>
      </c>
      <c r="J55" s="3">
        <f>SUM(J4+J10+J16+J22+J28+J34+J40+J46)/8</f>
        <v>0.66250000000000009</v>
      </c>
      <c r="K55" s="3">
        <f>SUM(K4+K10+K16+K22+K28+K34+K40+K46)/8</f>
        <v>0.73750000000000004</v>
      </c>
      <c r="L55" s="3">
        <f>SUM(L4+L10+L16+L22+L28+L34+L40+L46)/8</f>
        <v>0.5</v>
      </c>
      <c r="M55" s="3">
        <f>SUM(M4+M10+M16+M22+M28+M34+M40+M46)/8</f>
        <v>2.5000000000000001E-2</v>
      </c>
      <c r="N55" s="3">
        <f>SUM(B55:M55)</f>
        <v>2.8750000000000004</v>
      </c>
    </row>
    <row r="56" spans="1:14" x14ac:dyDescent="0.2">
      <c r="A56" s="1" t="s">
        <v>18</v>
      </c>
      <c r="B56" s="3">
        <f>SUM(B53:B55)</f>
        <v>4.1125000000000007</v>
      </c>
      <c r="C56" s="3">
        <f t="shared" ref="C56:M56" si="3">SUM(C53:C55)</f>
        <v>4.1124999999999998</v>
      </c>
      <c r="D56" s="3">
        <f t="shared" si="3"/>
        <v>4.5749999999999993</v>
      </c>
      <c r="E56" s="3">
        <f t="shared" si="3"/>
        <v>7.1</v>
      </c>
      <c r="F56" s="3">
        <f t="shared" si="3"/>
        <v>9.5499999999999989</v>
      </c>
      <c r="G56" s="3">
        <f t="shared" si="3"/>
        <v>7.3250000000000002</v>
      </c>
      <c r="H56" s="3">
        <f t="shared" si="3"/>
        <v>7.6375000000000002</v>
      </c>
      <c r="I56" s="3">
        <f t="shared" si="3"/>
        <v>10.725</v>
      </c>
      <c r="J56" s="3">
        <f t="shared" si="3"/>
        <v>13.5875</v>
      </c>
      <c r="K56" s="3">
        <f t="shared" si="3"/>
        <v>15.000000000000002</v>
      </c>
      <c r="L56" s="3">
        <f t="shared" si="3"/>
        <v>9.4875000000000007</v>
      </c>
      <c r="M56" s="3">
        <f t="shared" si="3"/>
        <v>3.5625</v>
      </c>
    </row>
    <row r="58" spans="1:14" x14ac:dyDescent="0.2">
      <c r="B58" t="s">
        <v>2</v>
      </c>
      <c r="C58" t="s">
        <v>3</v>
      </c>
      <c r="D58" t="s">
        <v>4</v>
      </c>
      <c r="E58" t="s">
        <v>5</v>
      </c>
      <c r="F58" s="1" t="s">
        <v>18</v>
      </c>
    </row>
    <row r="59" spans="1:14" x14ac:dyDescent="0.2">
      <c r="A59" s="1" t="s">
        <v>19</v>
      </c>
      <c r="B59" s="3">
        <f>B53+C53+M53+3.2/4</f>
        <v>9.6000000000000014</v>
      </c>
      <c r="C59" s="3">
        <f>D53+E53+F53+3.2/4</f>
        <v>14.037500000000001</v>
      </c>
      <c r="D59" s="3">
        <f>G53+H53+I53+3.2/4</f>
        <v>18.100000000000001</v>
      </c>
      <c r="E59" s="3">
        <f>J53+K53+L53+3.2/4</f>
        <v>20.750000000000004</v>
      </c>
      <c r="F59" s="3">
        <f>SUM(B59:E59)</f>
        <v>62.487500000000011</v>
      </c>
    </row>
    <row r="60" spans="1:14" x14ac:dyDescent="0.2">
      <c r="A60" s="1" t="s">
        <v>8</v>
      </c>
      <c r="B60" s="3">
        <f t="shared" ref="B60:B61" si="4">B54+C54+M54</f>
        <v>2.8374999999999999</v>
      </c>
      <c r="C60" s="3">
        <f t="shared" ref="C60:C61" si="5">D54+E54+F54</f>
        <v>7.5999999999999988</v>
      </c>
      <c r="D60" s="3">
        <f t="shared" ref="D60:D61" si="6">G54+H54+I54</f>
        <v>7.9499999999999993</v>
      </c>
      <c r="E60" s="3">
        <f t="shared" ref="E60:E61" si="7">J54+K54+L54</f>
        <v>16.224999999999998</v>
      </c>
      <c r="F60" s="3">
        <f t="shared" ref="F60:F61" si="8">SUM(B60:E60)</f>
        <v>34.612499999999997</v>
      </c>
    </row>
    <row r="61" spans="1:14" x14ac:dyDescent="0.2">
      <c r="A61" s="1" t="s">
        <v>9</v>
      </c>
      <c r="B61" s="3">
        <f t="shared" si="4"/>
        <v>0.15</v>
      </c>
      <c r="C61" s="3">
        <f t="shared" si="5"/>
        <v>0.38750000000000001</v>
      </c>
      <c r="D61" s="3">
        <f t="shared" si="6"/>
        <v>0.4375</v>
      </c>
      <c r="E61" s="3">
        <f t="shared" si="7"/>
        <v>1.9000000000000001</v>
      </c>
      <c r="F61" s="3">
        <f t="shared" si="8"/>
        <v>2.875</v>
      </c>
    </row>
    <row r="62" spans="1:14" x14ac:dyDescent="0.2">
      <c r="A62" s="1" t="s">
        <v>18</v>
      </c>
      <c r="B62" s="3">
        <f>SUM(B59:B61)</f>
        <v>12.587500000000002</v>
      </c>
      <c r="C62" s="3">
        <f t="shared" ref="C62:E62" si="9">SUM(C59:C61)</f>
        <v>22.024999999999999</v>
      </c>
      <c r="D62" s="3">
        <f t="shared" si="9"/>
        <v>26.487500000000001</v>
      </c>
      <c r="E62" s="3">
        <f t="shared" si="9"/>
        <v>38.875</v>
      </c>
    </row>
    <row r="65" spans="5:5" x14ac:dyDescent="0.2">
      <c r="E65" s="3">
        <f>SUM(B59:E61)</f>
        <v>99.975000000000023</v>
      </c>
    </row>
    <row r="66" spans="5:5" x14ac:dyDescent="0.2">
      <c r="E66" s="3">
        <f>100-E65</f>
        <v>2.4999999999977263E-2</v>
      </c>
    </row>
  </sheetData>
  <conditionalFormatting sqref="B59:E5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0:E6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E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Anna-Sofie Børresen</dc:creator>
  <cp:lastModifiedBy>Anna-Sofie Børresen</cp:lastModifiedBy>
  <dcterms:created xsi:type="dcterms:W3CDTF">2026-06-24T11:24:06Z</dcterms:created>
  <dcterms:modified xsi:type="dcterms:W3CDTF">2026-06-27T09:19:28Z</dcterms:modified>
</cp:coreProperties>
</file>
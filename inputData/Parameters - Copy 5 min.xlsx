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inputData/"/>
    </mc:Choice>
  </mc:AlternateContent>
  <xr:revisionPtr revIDLastSave="0" documentId="13_ncr:1_{5BDE1C95-1FF3-084D-8A80-E224BFDC5E0E}" xr6:coauthVersionLast="47" xr6:coauthVersionMax="47" xr10:uidLastSave="{00000000-0000-0000-0000-000000000000}"/>
  <bookViews>
    <workbookView xWindow="0" yWindow="760" windowWidth="29400" windowHeight="16660" xr2:uid="{63F903F0-DEEC-1344-9131-28787FF511C5}"/>
  </bookViews>
  <sheets>
    <sheet name="Parameters" sheetId="9" r:id="rId1"/>
    <sheet name="Price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9" l="1"/>
  <c r="B16" i="9"/>
  <c r="B15" i="9"/>
  <c r="B14" i="9"/>
  <c r="B8" i="9"/>
  <c r="O3" i="12"/>
</calcChain>
</file>

<file path=xl/sharedStrings.xml><?xml version="1.0" encoding="utf-8"?>
<sst xmlns="http://schemas.openxmlformats.org/spreadsheetml/2006/main" count="142" uniqueCount="61">
  <si>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</si>
  <si>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</si>
  <si>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</si>
  <si>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</si>
  <si>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</si>
  <si>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</si>
  <si>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</si>
  <si>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</si>
  <si>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</si>
  <si>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</si>
  <si>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</si>
  <si>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</si>
  <si>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</si>
  <si>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</si>
  <si>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</si>
  <si>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</si>
  <si>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</si>
  <si>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</si>
  <si>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</si>
  <si>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</si>
  <si>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</si>
  <si>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</si>
  <si>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</si>
  <si>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</si>
  <si>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</si>
  <si>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</si>
  <si>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Fd km</t>
  </si>
  <si>
    <t>Fd tid</t>
  </si>
  <si>
    <t>fd max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</si>
  <si>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</si>
  <si>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</si>
  <si>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</si>
  <si>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</si>
  <si>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</si>
  <si>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</si>
  <si>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</si>
  <si>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</si>
  <si>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</si>
  <si>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</si>
  <si>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</si>
  <si>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</si>
  <si>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</si>
  <si>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</si>
  <si>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</si>
  <si>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penalty for exceeding bmax</t>
  </si>
  <si>
    <t>bmid</t>
  </si>
  <si>
    <t>opening_cost</t>
  </si>
  <si>
    <t>cost of opening a vertiport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</si>
  <si>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</si>
  <si>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</si>
  <si>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</si>
  <si>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</si>
  <si>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</si>
  <si>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</si>
  <si>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</si>
  <si>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</si>
  <si>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</si>
  <si>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</si>
  <si>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(55.581790, 9.722994)</t>
  </si>
  <si>
    <t>(55.726059, 9.574035)</t>
  </si>
  <si>
    <t>(55.924974, 12.265524)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</si>
</sst>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topLeftCell="A12" zoomScale="109" workbookViewId="0">
      <selection activeCell="B18" sqref="B18"/>
    </sheetView>
  </sheetViews>
  <sheetFormatPr baseColWidth="10" defaultColWidth="11" defaultRowHeight="16" x14ac:dyDescent="0.2"/>
  <cols>
    <col min="1" max="1" width="22.6640625" customWidth="1"/>
    <col min="2" max="2" width="10.83203125" style="4"/>
  </cols>
  <sheetData>
    <row r="1" spans="1:4" x14ac:dyDescent="0.2">
      <c r="A1" t="s">
        <v>21</v>
      </c>
    </row>
    <row r="2" spans="1:4" x14ac:dyDescent="0.2">
      <c r="A2" s="1" t="s">
        <v>20</v>
      </c>
      <c r="B2" s="4">
        <v>5</v>
      </c>
      <c r="D2" t="s">
        <v>7</v>
      </c>
    </row>
    <row r="3" spans="1:4" x14ac:dyDescent="0.2">
      <c r="A3" t="s">
        <v>15</v>
      </c>
      <c r="B3" s="4">
        <v>0.75</v>
      </c>
      <c r="D3" t="s">
        <v>8</v>
      </c>
    </row>
    <row r="4" spans="1:4" x14ac:dyDescent="0.2">
      <c r="A4" t="s">
        <v>46</v>
      </c>
      <c r="B4" s="4">
        <v>400</v>
      </c>
      <c r="D4" t="s">
        <v>47</v>
      </c>
    </row>
    <row r="5" spans="1:4" x14ac:dyDescent="0.2">
      <c r="A5" t="s">
        <v>16</v>
      </c>
      <c r="B5" s="4">
        <v>300</v>
      </c>
      <c r="D5" t="s">
        <v>43</v>
      </c>
    </row>
    <row r="6" spans="1:4" x14ac:dyDescent="0.2">
      <c r="A6" t="s">
        <v>17</v>
      </c>
      <c r="B6" s="4">
        <v>30</v>
      </c>
      <c r="D6" t="s">
        <v>9</v>
      </c>
    </row>
    <row r="7" spans="1:4" x14ac:dyDescent="0.2">
      <c r="A7" t="s">
        <v>18</v>
      </c>
      <c r="B7" s="4">
        <v>0.3</v>
      </c>
      <c r="D7" t="s">
        <v>10</v>
      </c>
    </row>
    <row r="8" spans="1:4" x14ac:dyDescent="0.2">
      <c r="A8" t="s">
        <v>19</v>
      </c>
      <c r="B8" s="4">
        <f>0.2/B20</f>
        <v>0.04</v>
      </c>
      <c r="D8" t="s">
        <v>40</v>
      </c>
    </row>
    <row r="9" spans="1:4" x14ac:dyDescent="0.2">
      <c r="A9" t="s">
        <v>0</v>
      </c>
      <c r="B9" s="4">
        <v>4</v>
      </c>
      <c r="D9" t="s">
        <v>11</v>
      </c>
    </row>
    <row r="10" spans="1:4" x14ac:dyDescent="0.2">
      <c r="A10" t="s">
        <v>1</v>
      </c>
      <c r="B10" s="4">
        <v>100</v>
      </c>
      <c r="D10" s="3">
        <v>1</v>
      </c>
    </row>
    <row r="11" spans="1:4" x14ac:dyDescent="0.2">
      <c r="A11" t="s">
        <v>45</v>
      </c>
      <c r="B11" s="4">
        <v>80</v>
      </c>
      <c r="D11" s="3">
        <v>0.8</v>
      </c>
    </row>
    <row r="12" spans="1:4" x14ac:dyDescent="0.2">
      <c r="A12" t="s">
        <v>2</v>
      </c>
      <c r="B12" s="4">
        <v>40</v>
      </c>
      <c r="D12" s="3">
        <v>0.4</v>
      </c>
    </row>
    <row r="13" spans="1:4" x14ac:dyDescent="0.2">
      <c r="A13" t="s">
        <v>42</v>
      </c>
      <c r="B13" s="4">
        <v>20</v>
      </c>
      <c r="D13" s="3" t="s">
        <v>44</v>
      </c>
    </row>
    <row r="14" spans="1:4" x14ac:dyDescent="0.2">
      <c r="A14" t="s">
        <v>3</v>
      </c>
      <c r="B14" s="4">
        <f>2.11*B20</f>
        <v>10.549999999999999</v>
      </c>
      <c r="D14" s="3" t="s">
        <v>39</v>
      </c>
    </row>
    <row r="15" spans="1:4" x14ac:dyDescent="0.2">
      <c r="A15" t="s">
        <v>4</v>
      </c>
      <c r="B15" s="4">
        <f>30/B20</f>
        <v>6</v>
      </c>
      <c r="D15" s="3" t="s">
        <v>12</v>
      </c>
    </row>
    <row r="16" spans="1:4" x14ac:dyDescent="0.2">
      <c r="A16" t="s">
        <v>5</v>
      </c>
      <c r="B16" s="4">
        <f>20/B20</f>
        <v>4</v>
      </c>
      <c r="D16" s="3" t="s">
        <v>13</v>
      </c>
    </row>
    <row r="17" spans="1:4" x14ac:dyDescent="0.2">
      <c r="A17" t="s">
        <v>6</v>
      </c>
      <c r="B17" s="4">
        <f>480/B20</f>
        <v>96</v>
      </c>
      <c r="D17" s="3" t="s">
        <v>14</v>
      </c>
    </row>
    <row r="20" spans="1:4" x14ac:dyDescent="0.2">
      <c r="A20" t="s">
        <v>41</v>
      </c>
      <c r="B20" s="4">
        <v>5</v>
      </c>
      <c r="D20" s="3" t="s">
        <v>48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D5EA-53B5-1240-9D84-6FE223856A18}">
  <dimension ref="A1:P59"/>
  <sheetViews>
    <sheetView zoomScale="91" workbookViewId="0">
      <selection activeCell="D27" sqref="D27"/>
    </sheetView>
  </sheetViews>
  <sheetFormatPr baseColWidth="10" defaultColWidth="10.6640625" defaultRowHeight="16" x14ac:dyDescent="0.2"/>
  <cols>
    <col min="2" max="2" width="17.1640625" bestFit="1" customWidth="1"/>
    <col min="3" max="4" width="17.1640625" customWidth="1"/>
    <col min="5" max="5" width="12.1640625" bestFit="1" customWidth="1"/>
    <col min="6" max="6" width="11.33203125" bestFit="1" customWidth="1"/>
    <col min="7" max="7" width="17.1640625" bestFit="1" customWidth="1"/>
    <col min="8" max="8" width="18.1640625" bestFit="1" customWidth="1"/>
  </cols>
  <sheetData>
    <row r="1" spans="1:16" x14ac:dyDescent="0.2">
      <c r="A1" s="9" t="s">
        <v>36</v>
      </c>
      <c r="B1" s="5" t="s">
        <v>37</v>
      </c>
      <c r="C1" s="5" t="s">
        <v>49</v>
      </c>
      <c r="D1" s="5" t="s">
        <v>50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38</v>
      </c>
      <c r="L1" s="5" t="s">
        <v>28</v>
      </c>
      <c r="N1" s="6" t="s">
        <v>19</v>
      </c>
      <c r="O1" s="7">
        <v>0.2</v>
      </c>
      <c r="P1" s="6"/>
    </row>
    <row r="2" spans="1:16" x14ac:dyDescent="0.2">
      <c r="A2">
        <v>1</v>
      </c>
      <c r="B2" s="8">
        <v>2</v>
      </c>
      <c r="C2" s="1" t="s">
        <v>51</v>
      </c>
      <c r="D2" s="2" t="s">
        <v>52</v>
      </c>
      <c r="E2">
        <v>185</v>
      </c>
      <c r="F2">
        <v>219</v>
      </c>
      <c r="G2">
        <v>43.8</v>
      </c>
      <c r="H2">
        <v>4.2</v>
      </c>
      <c r="I2">
        <v>4161</v>
      </c>
      <c r="J2">
        <v>1647</v>
      </c>
      <c r="K2">
        <v>5808</v>
      </c>
      <c r="L2">
        <v>4161</v>
      </c>
      <c r="N2" t="s">
        <v>29</v>
      </c>
      <c r="O2" s="4">
        <v>19</v>
      </c>
      <c r="P2" t="s">
        <v>30</v>
      </c>
    </row>
    <row r="3" spans="1:16" x14ac:dyDescent="0.2">
      <c r="A3">
        <v>1</v>
      </c>
      <c r="B3" s="8">
        <v>3</v>
      </c>
      <c r="C3" s="1" t="s">
        <v>51</v>
      </c>
      <c r="D3" s="2" t="s">
        <v>53</v>
      </c>
      <c r="E3">
        <v>82</v>
      </c>
      <c r="F3">
        <v>88</v>
      </c>
      <c r="G3">
        <v>17.600000000000001</v>
      </c>
      <c r="H3">
        <v>4.7</v>
      </c>
      <c r="I3">
        <v>1672</v>
      </c>
      <c r="J3">
        <v>751</v>
      </c>
      <c r="K3">
        <v>2423</v>
      </c>
      <c r="L3">
        <v>1672</v>
      </c>
      <c r="N3" t="s">
        <v>31</v>
      </c>
      <c r="O3" s="4">
        <f>1000/60</f>
        <v>16.666666666666668</v>
      </c>
      <c r="P3" t="s">
        <v>32</v>
      </c>
    </row>
    <row r="4" spans="1:16" x14ac:dyDescent="0.2">
      <c r="A4">
        <v>1</v>
      </c>
      <c r="B4" s="8">
        <v>4</v>
      </c>
      <c r="C4" s="1" t="s">
        <v>51</v>
      </c>
      <c r="D4" s="1" t="s">
        <v>54</v>
      </c>
      <c r="E4">
        <v>228</v>
      </c>
      <c r="F4">
        <v>147</v>
      </c>
      <c r="G4">
        <v>29.4</v>
      </c>
      <c r="H4">
        <v>7.8</v>
      </c>
      <c r="I4">
        <v>2793</v>
      </c>
      <c r="J4">
        <v>2317</v>
      </c>
      <c r="K4">
        <v>5110</v>
      </c>
      <c r="L4">
        <v>2793</v>
      </c>
      <c r="N4" t="s">
        <v>33</v>
      </c>
      <c r="O4" s="4">
        <v>0.7</v>
      </c>
    </row>
    <row r="5" spans="1:16" x14ac:dyDescent="0.2">
      <c r="A5">
        <v>1</v>
      </c>
      <c r="B5" s="8">
        <v>5</v>
      </c>
      <c r="C5" s="1" t="s">
        <v>51</v>
      </c>
      <c r="D5" s="1" t="s">
        <v>55</v>
      </c>
      <c r="E5">
        <v>126</v>
      </c>
      <c r="F5">
        <v>147</v>
      </c>
      <c r="G5">
        <v>29.4</v>
      </c>
      <c r="H5">
        <v>4.3</v>
      </c>
      <c r="I5">
        <v>2793</v>
      </c>
      <c r="J5">
        <v>1127</v>
      </c>
      <c r="K5">
        <v>3920</v>
      </c>
      <c r="L5">
        <v>2793</v>
      </c>
      <c r="N5" t="s">
        <v>34</v>
      </c>
      <c r="O5" s="4">
        <v>0</v>
      </c>
      <c r="P5" t="s">
        <v>35</v>
      </c>
    </row>
    <row r="6" spans="1:16" x14ac:dyDescent="0.2">
      <c r="A6">
        <v>1</v>
      </c>
      <c r="B6" s="8">
        <v>6</v>
      </c>
      <c r="C6" s="1" t="s">
        <v>51</v>
      </c>
      <c r="D6" s="1" t="s">
        <v>56</v>
      </c>
      <c r="E6">
        <v>205</v>
      </c>
      <c r="F6">
        <v>197</v>
      </c>
      <c r="G6">
        <v>39.4</v>
      </c>
      <c r="H6">
        <v>5.2</v>
      </c>
      <c r="I6">
        <v>3743</v>
      </c>
      <c r="J6">
        <v>1932</v>
      </c>
      <c r="K6">
        <v>5675</v>
      </c>
      <c r="L6">
        <v>3743</v>
      </c>
      <c r="O6" s="4"/>
    </row>
    <row r="7" spans="1:16" x14ac:dyDescent="0.2">
      <c r="A7">
        <v>1</v>
      </c>
      <c r="B7" s="8">
        <v>7</v>
      </c>
      <c r="C7" s="1" t="s">
        <v>51</v>
      </c>
      <c r="D7" s="1" t="s">
        <v>57</v>
      </c>
      <c r="E7">
        <v>263</v>
      </c>
      <c r="F7">
        <v>227</v>
      </c>
      <c r="G7">
        <v>45.4</v>
      </c>
      <c r="H7">
        <v>5.8</v>
      </c>
      <c r="I7">
        <v>4313</v>
      </c>
      <c r="J7">
        <v>2539</v>
      </c>
      <c r="K7">
        <v>6852</v>
      </c>
      <c r="L7">
        <v>4313</v>
      </c>
      <c r="O7" s="4"/>
    </row>
    <row r="8" spans="1:16" x14ac:dyDescent="0.2">
      <c r="A8">
        <v>1</v>
      </c>
      <c r="B8" s="8">
        <v>8</v>
      </c>
      <c r="C8" s="1" t="s">
        <v>51</v>
      </c>
      <c r="D8" s="1" t="s">
        <v>58</v>
      </c>
      <c r="E8">
        <v>143</v>
      </c>
      <c r="F8">
        <v>184</v>
      </c>
      <c r="G8">
        <v>36.799999999999997</v>
      </c>
      <c r="H8">
        <v>3.9</v>
      </c>
      <c r="I8">
        <v>3496</v>
      </c>
      <c r="J8">
        <v>1239</v>
      </c>
      <c r="K8">
        <v>4735</v>
      </c>
      <c r="L8">
        <v>3496</v>
      </c>
      <c r="O8" s="4"/>
    </row>
    <row r="9" spans="1:16" x14ac:dyDescent="0.2">
      <c r="A9">
        <v>1</v>
      </c>
      <c r="B9" s="8">
        <v>9</v>
      </c>
      <c r="C9" s="1" t="s">
        <v>51</v>
      </c>
      <c r="D9" s="1" t="s">
        <v>59</v>
      </c>
      <c r="E9">
        <v>155</v>
      </c>
      <c r="F9">
        <v>193</v>
      </c>
      <c r="G9">
        <v>38.6</v>
      </c>
      <c r="H9">
        <v>4</v>
      </c>
      <c r="I9">
        <v>3667</v>
      </c>
      <c r="J9">
        <v>1358</v>
      </c>
      <c r="K9">
        <v>5025</v>
      </c>
      <c r="L9">
        <v>3667</v>
      </c>
      <c r="O9" s="4"/>
    </row>
    <row r="10" spans="1:16" x14ac:dyDescent="0.2">
      <c r="A10">
        <v>1</v>
      </c>
      <c r="B10" s="8">
        <v>10</v>
      </c>
      <c r="C10" s="1" t="s">
        <v>51</v>
      </c>
      <c r="D10" s="1" t="s">
        <v>60</v>
      </c>
      <c r="E10">
        <v>42</v>
      </c>
      <c r="F10">
        <v>41</v>
      </c>
      <c r="G10">
        <v>8.1999999999999993</v>
      </c>
      <c r="H10">
        <v>5.0999999999999996</v>
      </c>
      <c r="I10">
        <v>779</v>
      </c>
      <c r="J10">
        <v>394</v>
      </c>
      <c r="K10">
        <v>1173</v>
      </c>
      <c r="L10">
        <v>779</v>
      </c>
      <c r="O10" s="4"/>
    </row>
    <row r="11" spans="1:16" x14ac:dyDescent="0.2">
      <c r="A11">
        <v>2</v>
      </c>
      <c r="B11" s="8">
        <v>3</v>
      </c>
      <c r="C11" s="2" t="s">
        <v>52</v>
      </c>
      <c r="D11" s="2" t="s">
        <v>53</v>
      </c>
      <c r="E11">
        <v>173</v>
      </c>
      <c r="F11">
        <v>131</v>
      </c>
      <c r="G11">
        <v>26.2</v>
      </c>
      <c r="H11">
        <v>6.6</v>
      </c>
      <c r="I11">
        <v>2489</v>
      </c>
      <c r="J11">
        <v>1713</v>
      </c>
      <c r="K11">
        <v>4202</v>
      </c>
      <c r="L11">
        <v>2489</v>
      </c>
    </row>
    <row r="12" spans="1:16" x14ac:dyDescent="0.2">
      <c r="A12">
        <v>2</v>
      </c>
      <c r="B12" s="8">
        <v>4</v>
      </c>
      <c r="C12" s="2" t="s">
        <v>52</v>
      </c>
      <c r="D12" s="1" t="s">
        <v>54</v>
      </c>
      <c r="E12">
        <v>103</v>
      </c>
      <c r="F12">
        <v>110</v>
      </c>
      <c r="G12">
        <v>22</v>
      </c>
      <c r="H12">
        <v>4.7</v>
      </c>
      <c r="I12">
        <v>2090</v>
      </c>
      <c r="J12">
        <v>945</v>
      </c>
      <c r="K12">
        <v>3035</v>
      </c>
      <c r="L12">
        <v>2090</v>
      </c>
    </row>
    <row r="13" spans="1:16" x14ac:dyDescent="0.2">
      <c r="A13">
        <v>2</v>
      </c>
      <c r="B13" s="8">
        <v>5</v>
      </c>
      <c r="C13" s="2" t="s">
        <v>52</v>
      </c>
      <c r="D13" s="1" t="s">
        <v>55</v>
      </c>
      <c r="E13">
        <v>89</v>
      </c>
      <c r="F13">
        <v>80</v>
      </c>
      <c r="G13">
        <v>16</v>
      </c>
      <c r="H13">
        <v>5.6</v>
      </c>
      <c r="I13">
        <v>1520</v>
      </c>
      <c r="J13">
        <v>852</v>
      </c>
      <c r="K13">
        <v>2372</v>
      </c>
      <c r="L13">
        <v>1520</v>
      </c>
    </row>
    <row r="14" spans="1:16" x14ac:dyDescent="0.2">
      <c r="A14">
        <v>2</v>
      </c>
      <c r="B14" s="8">
        <v>6</v>
      </c>
      <c r="C14" s="2" t="s">
        <v>52</v>
      </c>
      <c r="D14" s="1" t="s">
        <v>56</v>
      </c>
      <c r="E14">
        <v>100</v>
      </c>
      <c r="F14">
        <v>98</v>
      </c>
      <c r="G14">
        <v>19.600000000000001</v>
      </c>
      <c r="H14">
        <v>5.0999999999999996</v>
      </c>
      <c r="I14">
        <v>1862</v>
      </c>
      <c r="J14">
        <v>938</v>
      </c>
      <c r="K14">
        <v>2800</v>
      </c>
      <c r="L14">
        <v>1862</v>
      </c>
    </row>
    <row r="15" spans="1:16" x14ac:dyDescent="0.2">
      <c r="A15">
        <v>2</v>
      </c>
      <c r="B15" s="8">
        <v>7</v>
      </c>
      <c r="C15" s="2" t="s">
        <v>52</v>
      </c>
      <c r="D15" s="11" t="s">
        <v>57</v>
      </c>
      <c r="E15">
        <v>138</v>
      </c>
      <c r="F15">
        <v>151</v>
      </c>
      <c r="G15">
        <v>30.2</v>
      </c>
      <c r="H15">
        <v>4.5999999999999996</v>
      </c>
      <c r="I15">
        <v>2869</v>
      </c>
      <c r="J15">
        <v>1258</v>
      </c>
      <c r="K15">
        <v>4127</v>
      </c>
      <c r="L15">
        <v>2869</v>
      </c>
    </row>
    <row r="16" spans="1:16" x14ac:dyDescent="0.2">
      <c r="A16">
        <v>2</v>
      </c>
      <c r="B16" s="8">
        <v>8</v>
      </c>
      <c r="C16" s="2" t="s">
        <v>52</v>
      </c>
      <c r="D16" s="1" t="s">
        <v>58</v>
      </c>
      <c r="E16">
        <v>55</v>
      </c>
      <c r="F16">
        <v>40</v>
      </c>
      <c r="G16">
        <v>8</v>
      </c>
      <c r="H16">
        <v>6.9</v>
      </c>
      <c r="I16">
        <v>760</v>
      </c>
      <c r="J16">
        <v>548</v>
      </c>
      <c r="K16">
        <v>1308</v>
      </c>
      <c r="L16">
        <v>760</v>
      </c>
    </row>
    <row r="17" spans="1:12" x14ac:dyDescent="0.2">
      <c r="A17">
        <v>2</v>
      </c>
      <c r="B17" s="8">
        <v>9</v>
      </c>
      <c r="C17" s="2" t="s">
        <v>52</v>
      </c>
      <c r="D17" s="1" t="s">
        <v>59</v>
      </c>
      <c r="E17">
        <v>38</v>
      </c>
      <c r="F17">
        <v>26</v>
      </c>
      <c r="G17">
        <v>5.2</v>
      </c>
      <c r="H17">
        <v>7.3</v>
      </c>
      <c r="I17">
        <v>494</v>
      </c>
      <c r="J17">
        <v>383</v>
      </c>
      <c r="K17">
        <v>877</v>
      </c>
      <c r="L17">
        <v>494</v>
      </c>
    </row>
    <row r="18" spans="1:12" x14ac:dyDescent="0.2">
      <c r="A18">
        <v>2</v>
      </c>
      <c r="B18" s="8">
        <v>10</v>
      </c>
      <c r="C18" s="2" t="s">
        <v>52</v>
      </c>
      <c r="D18" s="1" t="s">
        <v>60</v>
      </c>
      <c r="E18">
        <v>205</v>
      </c>
      <c r="F18">
        <v>196</v>
      </c>
      <c r="G18">
        <v>39.200000000000003</v>
      </c>
      <c r="H18">
        <v>5.2</v>
      </c>
      <c r="I18">
        <v>3724</v>
      </c>
      <c r="J18">
        <v>1934</v>
      </c>
      <c r="K18">
        <v>5658</v>
      </c>
      <c r="L18">
        <v>3724</v>
      </c>
    </row>
    <row r="19" spans="1:12" x14ac:dyDescent="0.2">
      <c r="A19">
        <v>3</v>
      </c>
      <c r="B19" s="8">
        <v>4</v>
      </c>
      <c r="C19" s="2" t="s">
        <v>53</v>
      </c>
      <c r="D19" s="1" t="s">
        <v>54</v>
      </c>
      <c r="E19">
        <v>215</v>
      </c>
      <c r="F19">
        <v>77</v>
      </c>
      <c r="G19">
        <v>15.4</v>
      </c>
      <c r="H19">
        <v>14</v>
      </c>
      <c r="I19">
        <v>1463</v>
      </c>
      <c r="J19">
        <v>2329</v>
      </c>
      <c r="K19">
        <v>3792</v>
      </c>
      <c r="L19">
        <v>2329</v>
      </c>
    </row>
    <row r="20" spans="1:12" x14ac:dyDescent="0.2">
      <c r="A20">
        <v>3</v>
      </c>
      <c r="B20" s="8">
        <v>5</v>
      </c>
      <c r="C20" s="2" t="s">
        <v>53</v>
      </c>
      <c r="D20" s="1" t="s">
        <v>55</v>
      </c>
      <c r="E20">
        <v>113</v>
      </c>
      <c r="F20">
        <v>63</v>
      </c>
      <c r="G20">
        <v>12.6</v>
      </c>
      <c r="H20">
        <v>9</v>
      </c>
      <c r="I20">
        <v>1197</v>
      </c>
      <c r="J20">
        <v>1171</v>
      </c>
      <c r="K20">
        <v>2368</v>
      </c>
      <c r="L20">
        <v>1197</v>
      </c>
    </row>
    <row r="21" spans="1:12" x14ac:dyDescent="0.2">
      <c r="A21">
        <v>3</v>
      </c>
      <c r="B21" s="8">
        <v>6</v>
      </c>
      <c r="C21" s="2" t="s">
        <v>53</v>
      </c>
      <c r="D21" s="1" t="s">
        <v>56</v>
      </c>
      <c r="E21">
        <v>192</v>
      </c>
      <c r="F21">
        <v>126</v>
      </c>
      <c r="G21">
        <v>25.2</v>
      </c>
      <c r="H21">
        <v>7.6</v>
      </c>
      <c r="I21">
        <v>2394</v>
      </c>
      <c r="J21">
        <v>1946</v>
      </c>
      <c r="K21">
        <v>4340</v>
      </c>
      <c r="L21">
        <v>2394</v>
      </c>
    </row>
    <row r="22" spans="1:12" x14ac:dyDescent="0.2">
      <c r="A22">
        <v>3</v>
      </c>
      <c r="B22" s="8">
        <v>7</v>
      </c>
      <c r="C22" s="2" t="s">
        <v>53</v>
      </c>
      <c r="D22" s="11" t="s">
        <v>57</v>
      </c>
      <c r="E22">
        <v>250</v>
      </c>
      <c r="F22">
        <v>167</v>
      </c>
      <c r="G22">
        <v>33.4</v>
      </c>
      <c r="H22">
        <v>7.5</v>
      </c>
      <c r="I22">
        <v>3173</v>
      </c>
      <c r="J22">
        <v>2527</v>
      </c>
      <c r="K22">
        <v>5700</v>
      </c>
      <c r="L22">
        <v>3173</v>
      </c>
    </row>
    <row r="23" spans="1:12" x14ac:dyDescent="0.2">
      <c r="A23">
        <v>3</v>
      </c>
      <c r="B23" s="8">
        <v>8</v>
      </c>
      <c r="C23" s="2" t="s">
        <v>53</v>
      </c>
      <c r="D23" s="1" t="s">
        <v>58</v>
      </c>
      <c r="E23">
        <v>130</v>
      </c>
      <c r="F23">
        <v>97</v>
      </c>
      <c r="G23">
        <v>19.399999999999999</v>
      </c>
      <c r="H23">
        <v>6.7</v>
      </c>
      <c r="I23">
        <v>1843</v>
      </c>
      <c r="J23">
        <v>1290</v>
      </c>
      <c r="K23">
        <v>3133</v>
      </c>
      <c r="L23">
        <v>1843</v>
      </c>
    </row>
    <row r="24" spans="1:12" x14ac:dyDescent="0.2">
      <c r="A24">
        <v>3</v>
      </c>
      <c r="B24" s="8">
        <v>9</v>
      </c>
      <c r="C24" s="2" t="s">
        <v>53</v>
      </c>
      <c r="D24" s="1" t="s">
        <v>59</v>
      </c>
      <c r="E24">
        <v>142</v>
      </c>
      <c r="F24">
        <v>105</v>
      </c>
      <c r="G24">
        <v>21</v>
      </c>
      <c r="H24">
        <v>6.8</v>
      </c>
      <c r="I24">
        <v>1995</v>
      </c>
      <c r="J24">
        <v>1412</v>
      </c>
      <c r="K24">
        <v>3407</v>
      </c>
      <c r="L24">
        <v>1995</v>
      </c>
    </row>
    <row r="25" spans="1:12" x14ac:dyDescent="0.2">
      <c r="A25">
        <v>3</v>
      </c>
      <c r="B25" s="8">
        <v>10</v>
      </c>
      <c r="C25" s="2" t="s">
        <v>53</v>
      </c>
      <c r="D25" s="1" t="s">
        <v>60</v>
      </c>
      <c r="E25">
        <v>89</v>
      </c>
      <c r="F25">
        <v>68</v>
      </c>
      <c r="G25">
        <v>13.6</v>
      </c>
      <c r="H25">
        <v>6.5</v>
      </c>
      <c r="I25">
        <v>1292</v>
      </c>
      <c r="J25">
        <v>880</v>
      </c>
      <c r="K25">
        <v>2172</v>
      </c>
      <c r="L25">
        <v>1292</v>
      </c>
    </row>
    <row r="26" spans="1:12" x14ac:dyDescent="0.2">
      <c r="A26">
        <v>4</v>
      </c>
      <c r="B26" s="8">
        <v>5</v>
      </c>
      <c r="C26" s="1" t="s">
        <v>54</v>
      </c>
      <c r="D26" s="1" t="s">
        <v>55</v>
      </c>
      <c r="E26">
        <v>130</v>
      </c>
      <c r="F26">
        <v>93</v>
      </c>
      <c r="G26">
        <v>18.600000000000001</v>
      </c>
      <c r="H26">
        <v>7</v>
      </c>
      <c r="I26">
        <v>1767</v>
      </c>
      <c r="J26">
        <v>1300</v>
      </c>
      <c r="K26">
        <v>3067</v>
      </c>
      <c r="L26">
        <v>1767</v>
      </c>
    </row>
    <row r="27" spans="1:12" x14ac:dyDescent="0.2">
      <c r="A27">
        <v>4</v>
      </c>
      <c r="B27" s="8">
        <v>6</v>
      </c>
      <c r="C27" s="1" t="s">
        <v>54</v>
      </c>
      <c r="D27" s="1" t="s">
        <v>56</v>
      </c>
      <c r="E27">
        <v>149</v>
      </c>
      <c r="F27">
        <v>161</v>
      </c>
      <c r="G27">
        <v>32.200000000000003</v>
      </c>
      <c r="H27">
        <v>4.5999999999999996</v>
      </c>
      <c r="I27">
        <v>3059</v>
      </c>
      <c r="J27">
        <v>1363</v>
      </c>
      <c r="K27">
        <v>4422</v>
      </c>
      <c r="L27">
        <v>3059</v>
      </c>
    </row>
    <row r="28" spans="1:12" x14ac:dyDescent="0.2">
      <c r="A28">
        <v>4</v>
      </c>
      <c r="B28" s="8">
        <v>7</v>
      </c>
      <c r="C28" s="1" t="s">
        <v>54</v>
      </c>
      <c r="D28" s="11" t="s">
        <v>57</v>
      </c>
      <c r="E28">
        <v>93</v>
      </c>
      <c r="F28">
        <v>90</v>
      </c>
      <c r="G28">
        <v>18</v>
      </c>
      <c r="H28">
        <v>5.2</v>
      </c>
      <c r="I28">
        <v>1710</v>
      </c>
      <c r="J28">
        <v>875</v>
      </c>
      <c r="K28">
        <v>2585</v>
      </c>
      <c r="L28">
        <v>1710</v>
      </c>
    </row>
    <row r="29" spans="1:12" x14ac:dyDescent="0.2">
      <c r="A29">
        <v>4</v>
      </c>
      <c r="B29" s="8">
        <v>8</v>
      </c>
      <c r="C29" s="1" t="s">
        <v>54</v>
      </c>
      <c r="D29" s="1" t="s">
        <v>58</v>
      </c>
      <c r="E29">
        <v>97</v>
      </c>
      <c r="F29">
        <v>97</v>
      </c>
      <c r="G29">
        <v>19.399999999999999</v>
      </c>
      <c r="H29">
        <v>5</v>
      </c>
      <c r="I29">
        <v>1843</v>
      </c>
      <c r="J29">
        <v>905</v>
      </c>
      <c r="K29">
        <v>2748</v>
      </c>
      <c r="L29">
        <v>1843</v>
      </c>
    </row>
    <row r="30" spans="1:12" x14ac:dyDescent="0.2">
      <c r="A30">
        <v>4</v>
      </c>
      <c r="B30" s="8">
        <v>9</v>
      </c>
      <c r="C30" s="1" t="s">
        <v>54</v>
      </c>
      <c r="D30" s="1" t="s">
        <v>59</v>
      </c>
      <c r="E30">
        <v>76</v>
      </c>
      <c r="F30">
        <v>91</v>
      </c>
      <c r="G30">
        <v>18.2</v>
      </c>
      <c r="H30">
        <v>4.2</v>
      </c>
      <c r="I30">
        <v>1729</v>
      </c>
      <c r="J30">
        <v>674</v>
      </c>
      <c r="K30">
        <v>2403</v>
      </c>
      <c r="L30">
        <v>1729</v>
      </c>
    </row>
    <row r="31" spans="1:12" x14ac:dyDescent="0.2">
      <c r="A31">
        <v>4</v>
      </c>
      <c r="B31" s="8">
        <v>10</v>
      </c>
      <c r="C31" s="1" t="s">
        <v>54</v>
      </c>
      <c r="D31" s="1" t="s">
        <v>60</v>
      </c>
      <c r="E31">
        <v>246</v>
      </c>
      <c r="F31">
        <v>110</v>
      </c>
      <c r="G31">
        <v>22</v>
      </c>
      <c r="H31">
        <v>11.2</v>
      </c>
      <c r="I31">
        <v>2090</v>
      </c>
      <c r="J31">
        <v>2613</v>
      </c>
      <c r="K31">
        <v>4703</v>
      </c>
      <c r="L31">
        <v>2613</v>
      </c>
    </row>
    <row r="32" spans="1:12" x14ac:dyDescent="0.2">
      <c r="A32">
        <v>5</v>
      </c>
      <c r="B32" s="8">
        <v>6</v>
      </c>
      <c r="C32" s="1" t="s">
        <v>55</v>
      </c>
      <c r="D32" s="1" t="s">
        <v>56</v>
      </c>
      <c r="E32">
        <v>110</v>
      </c>
      <c r="F32">
        <v>70</v>
      </c>
      <c r="G32">
        <v>14</v>
      </c>
      <c r="H32">
        <v>7.9</v>
      </c>
      <c r="I32">
        <v>1330</v>
      </c>
      <c r="J32">
        <v>1120</v>
      </c>
      <c r="K32">
        <v>2450</v>
      </c>
      <c r="L32">
        <v>1330</v>
      </c>
    </row>
    <row r="33" spans="1:12" x14ac:dyDescent="0.2">
      <c r="A33" s="10">
        <v>5</v>
      </c>
      <c r="B33" s="8">
        <v>7</v>
      </c>
      <c r="C33" s="1" t="s">
        <v>55</v>
      </c>
      <c r="D33" s="11" t="s">
        <v>57</v>
      </c>
      <c r="E33">
        <v>168</v>
      </c>
      <c r="F33">
        <v>173</v>
      </c>
      <c r="G33">
        <v>34.6</v>
      </c>
      <c r="H33">
        <v>4.9000000000000004</v>
      </c>
      <c r="I33">
        <v>3287</v>
      </c>
      <c r="J33">
        <v>1556</v>
      </c>
      <c r="K33">
        <v>4843</v>
      </c>
      <c r="L33">
        <v>3287</v>
      </c>
    </row>
    <row r="34" spans="1:12" x14ac:dyDescent="0.2">
      <c r="A34">
        <v>5</v>
      </c>
      <c r="B34" s="8">
        <v>8</v>
      </c>
      <c r="C34" s="1" t="s">
        <v>55</v>
      </c>
      <c r="D34" s="1" t="s">
        <v>58</v>
      </c>
      <c r="E34">
        <v>48</v>
      </c>
      <c r="F34">
        <v>40</v>
      </c>
      <c r="G34">
        <v>8</v>
      </c>
      <c r="H34">
        <v>6</v>
      </c>
      <c r="I34">
        <v>760</v>
      </c>
      <c r="J34">
        <v>467</v>
      </c>
      <c r="K34">
        <v>1227</v>
      </c>
      <c r="L34">
        <v>760</v>
      </c>
    </row>
    <row r="35" spans="1:12" x14ac:dyDescent="0.2">
      <c r="A35">
        <v>5</v>
      </c>
      <c r="B35" s="8">
        <v>9</v>
      </c>
      <c r="C35" s="1" t="s">
        <v>55</v>
      </c>
      <c r="D35" s="1" t="s">
        <v>59</v>
      </c>
      <c r="E35">
        <v>60</v>
      </c>
      <c r="F35">
        <v>55</v>
      </c>
      <c r="G35">
        <v>11</v>
      </c>
      <c r="H35">
        <v>5.5</v>
      </c>
      <c r="I35">
        <v>1045</v>
      </c>
      <c r="J35">
        <v>572</v>
      </c>
      <c r="K35">
        <v>1617</v>
      </c>
      <c r="L35">
        <v>1045</v>
      </c>
    </row>
    <row r="36" spans="1:12" x14ac:dyDescent="0.2">
      <c r="A36">
        <v>5</v>
      </c>
      <c r="B36" s="8">
        <v>10</v>
      </c>
      <c r="C36" s="1" t="s">
        <v>55</v>
      </c>
      <c r="D36" s="1" t="s">
        <v>60</v>
      </c>
      <c r="E36">
        <v>145</v>
      </c>
      <c r="F36">
        <v>131</v>
      </c>
      <c r="G36">
        <v>26.2</v>
      </c>
      <c r="H36">
        <v>5.5</v>
      </c>
      <c r="I36">
        <v>2489</v>
      </c>
      <c r="J36">
        <v>1386</v>
      </c>
      <c r="K36">
        <v>3875</v>
      </c>
      <c r="L36">
        <v>2489</v>
      </c>
    </row>
    <row r="37" spans="1:12" x14ac:dyDescent="0.2">
      <c r="A37">
        <v>6</v>
      </c>
      <c r="B37" s="8">
        <v>7</v>
      </c>
      <c r="C37" s="1" t="s">
        <v>56</v>
      </c>
      <c r="D37" s="11" t="s">
        <v>57</v>
      </c>
      <c r="E37">
        <v>185</v>
      </c>
      <c r="F37">
        <v>232</v>
      </c>
      <c r="G37">
        <v>46.4</v>
      </c>
      <c r="H37">
        <v>4</v>
      </c>
      <c r="I37">
        <v>4408</v>
      </c>
      <c r="J37">
        <v>1617</v>
      </c>
      <c r="K37">
        <v>6025</v>
      </c>
      <c r="L37">
        <v>4408</v>
      </c>
    </row>
    <row r="38" spans="1:12" x14ac:dyDescent="0.2">
      <c r="A38">
        <v>6</v>
      </c>
      <c r="B38" s="8">
        <v>8</v>
      </c>
      <c r="C38" s="1" t="s">
        <v>56</v>
      </c>
      <c r="D38" s="1" t="s">
        <v>58</v>
      </c>
      <c r="E38">
        <v>77</v>
      </c>
      <c r="F38">
        <v>72</v>
      </c>
      <c r="G38">
        <v>14.4</v>
      </c>
      <c r="H38">
        <v>5.3</v>
      </c>
      <c r="I38">
        <v>1368</v>
      </c>
      <c r="J38">
        <v>730</v>
      </c>
      <c r="K38">
        <v>2098</v>
      </c>
      <c r="L38">
        <v>1368</v>
      </c>
    </row>
    <row r="39" spans="1:12" x14ac:dyDescent="0.2">
      <c r="A39">
        <v>6</v>
      </c>
      <c r="B39" s="8">
        <v>9</v>
      </c>
      <c r="C39" s="1" t="s">
        <v>56</v>
      </c>
      <c r="D39" s="1" t="s">
        <v>59</v>
      </c>
      <c r="E39">
        <v>78</v>
      </c>
      <c r="F39">
        <v>89</v>
      </c>
      <c r="G39">
        <v>17.8</v>
      </c>
      <c r="H39">
        <v>4.4000000000000004</v>
      </c>
      <c r="I39">
        <v>1691</v>
      </c>
      <c r="J39">
        <v>702</v>
      </c>
      <c r="K39">
        <v>2393</v>
      </c>
      <c r="L39">
        <v>1691</v>
      </c>
    </row>
    <row r="40" spans="1:12" x14ac:dyDescent="0.2">
      <c r="A40">
        <v>6</v>
      </c>
      <c r="B40" s="8">
        <v>10</v>
      </c>
      <c r="C40" s="1" t="s">
        <v>56</v>
      </c>
      <c r="D40" s="1" t="s">
        <v>60</v>
      </c>
      <c r="E40">
        <v>224</v>
      </c>
      <c r="F40">
        <v>192</v>
      </c>
      <c r="G40">
        <v>38.4</v>
      </c>
      <c r="H40">
        <v>5.8</v>
      </c>
      <c r="I40">
        <v>3648</v>
      </c>
      <c r="J40">
        <v>2165</v>
      </c>
      <c r="K40">
        <v>5813</v>
      </c>
      <c r="L40">
        <v>3648</v>
      </c>
    </row>
    <row r="41" spans="1:12" x14ac:dyDescent="0.2">
      <c r="A41">
        <v>7</v>
      </c>
      <c r="B41" s="8">
        <v>8</v>
      </c>
      <c r="C41" s="1" t="s">
        <v>57</v>
      </c>
      <c r="D41" s="1" t="s">
        <v>58</v>
      </c>
      <c r="E41">
        <v>131</v>
      </c>
      <c r="F41">
        <v>160</v>
      </c>
      <c r="G41">
        <v>32</v>
      </c>
      <c r="H41">
        <v>4.0999999999999996</v>
      </c>
      <c r="I41">
        <v>3040</v>
      </c>
      <c r="J41">
        <v>1155</v>
      </c>
      <c r="K41">
        <v>4195</v>
      </c>
      <c r="L41">
        <v>3040</v>
      </c>
    </row>
    <row r="42" spans="1:12" x14ac:dyDescent="0.2">
      <c r="A42">
        <v>7</v>
      </c>
      <c r="B42" s="8">
        <v>9</v>
      </c>
      <c r="C42" s="1" t="s">
        <v>57</v>
      </c>
      <c r="D42" s="1" t="s">
        <v>59</v>
      </c>
      <c r="E42">
        <v>110</v>
      </c>
      <c r="F42">
        <v>146</v>
      </c>
      <c r="G42">
        <v>29.2</v>
      </c>
      <c r="H42">
        <v>3.8</v>
      </c>
      <c r="I42">
        <v>2774</v>
      </c>
      <c r="J42">
        <v>943</v>
      </c>
      <c r="K42">
        <v>3717</v>
      </c>
      <c r="L42">
        <v>2774</v>
      </c>
    </row>
    <row r="43" spans="1:12" x14ac:dyDescent="0.2">
      <c r="A43">
        <v>7</v>
      </c>
      <c r="B43" s="8">
        <v>10</v>
      </c>
      <c r="C43" s="1" t="s">
        <v>57</v>
      </c>
      <c r="D43" s="1" t="s">
        <v>60</v>
      </c>
      <c r="E43">
        <v>280</v>
      </c>
      <c r="F43">
        <v>187</v>
      </c>
      <c r="G43">
        <v>37.4</v>
      </c>
      <c r="H43">
        <v>7.5</v>
      </c>
      <c r="I43">
        <v>3553</v>
      </c>
      <c r="J43">
        <v>2830</v>
      </c>
      <c r="K43">
        <v>6383</v>
      </c>
      <c r="L43">
        <v>3553</v>
      </c>
    </row>
    <row r="44" spans="1:12" x14ac:dyDescent="0.2">
      <c r="A44">
        <v>8</v>
      </c>
      <c r="B44" s="8">
        <v>9</v>
      </c>
      <c r="C44" s="1" t="s">
        <v>58</v>
      </c>
      <c r="D44" s="1" t="s">
        <v>59</v>
      </c>
      <c r="E44">
        <v>26</v>
      </c>
      <c r="F44">
        <v>19</v>
      </c>
      <c r="G44">
        <v>3.8</v>
      </c>
      <c r="H44">
        <v>6.8</v>
      </c>
      <c r="I44">
        <v>361</v>
      </c>
      <c r="J44">
        <v>259</v>
      </c>
      <c r="K44">
        <v>620</v>
      </c>
      <c r="L44">
        <v>361</v>
      </c>
    </row>
    <row r="45" spans="1:12" x14ac:dyDescent="0.2">
      <c r="A45">
        <v>8</v>
      </c>
      <c r="B45" s="8">
        <v>10</v>
      </c>
      <c r="C45" s="1" t="s">
        <v>58</v>
      </c>
      <c r="D45" s="1" t="s">
        <v>60</v>
      </c>
      <c r="E45">
        <v>163</v>
      </c>
      <c r="F45">
        <v>164</v>
      </c>
      <c r="G45">
        <v>32.799999999999997</v>
      </c>
      <c r="H45">
        <v>5</v>
      </c>
      <c r="I45">
        <v>3116</v>
      </c>
      <c r="J45">
        <v>1519</v>
      </c>
      <c r="K45">
        <v>4635</v>
      </c>
      <c r="L45">
        <v>3116</v>
      </c>
    </row>
    <row r="46" spans="1:12" x14ac:dyDescent="0.2">
      <c r="A46">
        <v>9</v>
      </c>
      <c r="B46" s="8">
        <v>10</v>
      </c>
      <c r="C46" s="1" t="s">
        <v>59</v>
      </c>
      <c r="D46" s="1" t="s">
        <v>60</v>
      </c>
      <c r="E46">
        <v>175</v>
      </c>
      <c r="F46">
        <v>170</v>
      </c>
      <c r="G46">
        <v>34</v>
      </c>
      <c r="H46">
        <v>5.0999999999999996</v>
      </c>
      <c r="I46">
        <v>3230</v>
      </c>
      <c r="J46">
        <v>1645</v>
      </c>
      <c r="K46">
        <v>4875</v>
      </c>
      <c r="L46">
        <v>3230</v>
      </c>
    </row>
    <row r="47" spans="1:12" x14ac:dyDescent="0.2">
      <c r="A47">
        <v>1</v>
      </c>
      <c r="B47" s="8">
        <v>1</v>
      </c>
      <c r="C47" s="8"/>
      <c r="D47" s="8"/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2</v>
      </c>
      <c r="B48" s="8">
        <v>2</v>
      </c>
      <c r="C48" s="8"/>
      <c r="D48" s="8"/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3</v>
      </c>
      <c r="B49" s="8">
        <v>3</v>
      </c>
      <c r="C49" s="8"/>
      <c r="D49" s="8"/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4</v>
      </c>
      <c r="B50" s="8">
        <v>4</v>
      </c>
      <c r="C50" s="8"/>
      <c r="D50" s="8"/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>
        <v>5</v>
      </c>
      <c r="B51" s="8">
        <v>5</v>
      </c>
      <c r="C51" s="8"/>
      <c r="D51" s="8"/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6</v>
      </c>
      <c r="B52" s="8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7</v>
      </c>
      <c r="B53" s="8">
        <v>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8</v>
      </c>
      <c r="B54" s="8">
        <v>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9</v>
      </c>
      <c r="B55" s="8">
        <v>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10</v>
      </c>
      <c r="B56" s="8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G57" s="2"/>
    </row>
    <row r="58" spans="1:12" x14ac:dyDescent="0.2">
      <c r="G58" s="1"/>
    </row>
    <row r="59" spans="1:12" x14ac:dyDescent="0.2">
      <c r="G59" s="1"/>
    </row>
  </sheetData>
  <conditionalFormatting sqref="I2:I4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4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Anna-Sofie Børresen</cp:lastModifiedBy>
  <dcterms:created xsi:type="dcterms:W3CDTF">2026-03-10T08:39:53Z</dcterms:created>
  <dcterms:modified xsi:type="dcterms:W3CDTF">2026-06-03T07:28:36Z</dcterms:modified>
</cp:coreProperties>
</file>
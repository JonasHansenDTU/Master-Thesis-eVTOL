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bb/Desktop/Speciale/Master-Thesis-eVTOL/inputData/"/>
    </mc:Choice>
  </mc:AlternateContent>
  <xr:revisionPtr revIDLastSave="0" documentId="13_ncr:1_{7674647F-1577-C742-B86E-64C2C43BD08B}" xr6:coauthVersionLast="47" xr6:coauthVersionMax="47" xr10:uidLastSave="{00000000-0000-0000-0000-000000000000}"/>
  <bookViews>
    <workbookView xWindow="0" yWindow="740" windowWidth="29400" windowHeight="18380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3" l="1"/>
  <c r="O4" i="13"/>
  <c r="Q23" i="13" s="1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Q19" i="13" s="1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2" i="13"/>
  <c r="R23" i="13"/>
  <c r="R22" i="13"/>
  <c r="R21" i="13"/>
  <c r="R20" i="13"/>
  <c r="R19" i="13"/>
  <c r="R18" i="13"/>
  <c r="Q21" i="13"/>
  <c r="Q20" i="13"/>
  <c r="Q18" i="13"/>
  <c r="R27" i="13"/>
  <c r="T2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N9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R3" i="13"/>
  <c r="N46" i="13" s="1"/>
  <c r="N3" i="13"/>
  <c r="M3" i="13"/>
  <c r="L3" i="13"/>
  <c r="K3" i="13"/>
  <c r="M2" i="13"/>
  <c r="L2" i="13"/>
  <c r="K2" i="13"/>
  <c r="B16" i="9"/>
  <c r="B15" i="9"/>
  <c r="B14" i="9"/>
  <c r="B8" i="9"/>
  <c r="Q22" i="13" l="1"/>
  <c r="Q27" i="13"/>
  <c r="N25" i="13"/>
  <c r="N19" i="13"/>
  <c r="N22" i="13"/>
  <c r="N14" i="13"/>
  <c r="N17" i="13"/>
  <c r="N11" i="13"/>
  <c r="N20" i="13"/>
  <c r="N43" i="13"/>
  <c r="N6" i="13"/>
  <c r="N12" i="13"/>
  <c r="N35" i="13"/>
  <c r="N38" i="13"/>
  <c r="N41" i="13"/>
  <c r="N4" i="13"/>
  <c r="N27" i="13"/>
  <c r="N30" i="13"/>
  <c r="N33" i="13"/>
  <c r="N36" i="13"/>
  <c r="N28" i="13"/>
  <c r="N8" i="13"/>
  <c r="N16" i="13"/>
  <c r="N2" i="13"/>
  <c r="N5" i="13"/>
  <c r="N13" i="13"/>
  <c r="N21" i="13"/>
  <c r="N29" i="13"/>
  <c r="N37" i="13"/>
  <c r="N45" i="13"/>
  <c r="N40" i="13"/>
  <c r="N10" i="13"/>
  <c r="N18" i="13"/>
  <c r="N26" i="13"/>
  <c r="N34" i="13"/>
  <c r="N42" i="13"/>
  <c r="N24" i="13"/>
  <c r="N32" i="13"/>
  <c r="N7" i="13"/>
  <c r="N15" i="13"/>
  <c r="N23" i="13"/>
  <c r="N31" i="13"/>
  <c r="N39" i="13"/>
  <c r="N44" i="13"/>
  <c r="S27" i="13" l="1"/>
</calcChain>
</file>

<file path=xl/sharedStrings.xml><?xml version="1.0" encoding="utf-8"?>
<sst xmlns="http://schemas.openxmlformats.org/spreadsheetml/2006/main" count="193" uniqueCount="110">
  <si>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</si>
  <si>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</si>
  <si>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</si>
  <si>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</si>
  <si>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</si>
  <si>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</si>
  <si>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</si>
  <si>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</si>
  <si>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</si>
  <si>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</si>
  <si>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</si>
  <si>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</si>
  <si>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</si>
  <si>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</si>
  <si>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</si>
  <si>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</si>
  <si>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</si>
  <si>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</si>
  <si>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</si>
  <si>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</si>
  <si>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</si>
  <si>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</si>
  <si>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</si>
  <si>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</si>
  <si>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</si>
  <si>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</si>
  <si>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</si>
  <si>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</si>
  <si>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</si>
  <si>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</si>
  <si>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</si>
  <si>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</si>
  <si>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</si>
  <si>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</si>
  <si>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</si>
  <si>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</si>
  <si>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</si>
  <si>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</si>
  <si>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</si>
  <si>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</si>
  <si>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</si>
  <si>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</si>
  <si>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</si>
  <si>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</si>
  <si>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</si>
  <si>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</si>
  <si>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</si>
  <si>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</si>
  <si>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</si>
  <si>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</si>
  <si>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</si>
  <si>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</si>
  <si>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</si>
  <si>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</si>
  <si>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</si>
  <si>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</si>
  <si>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</si>
  <si>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</si>
  <si>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</si>
  <si>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</si>
  <si>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</si>
  <si>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</si>
  <si>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</si>
  <si>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</si>
  <si>
    <t>Copenhagen / Billund</t>
  </si>
  <si>
    <t>Copenhagen / Kalundborg</t>
  </si>
  <si>
    <t>Copenhagen / Aarhus</t>
  </si>
  <si>
    <t>Copenhagen / Odense</t>
  </si>
  <si>
    <t>Copenhagen / Sønderborg</t>
  </si>
  <si>
    <t>Copenhagen / Aalborg</t>
  </si>
  <si>
    <t>Copenhagen / Bornholm</t>
  </si>
  <si>
    <t>Copenhagen / Viborg</t>
  </si>
  <si>
    <t>Copenhagen / Helsingør</t>
  </si>
  <si>
    <t>Billund / Kalundborg</t>
  </si>
  <si>
    <t>Billund / Aarhus</t>
  </si>
  <si>
    <t>Billund / Odense</t>
  </si>
  <si>
    <t>Billund / Sønderborg</t>
  </si>
  <si>
    <t>Billund / Aalborg</t>
  </si>
  <si>
    <t>Billund / Bornholm</t>
  </si>
  <si>
    <t>Billund / Viborg</t>
  </si>
  <si>
    <t>Billund / Helsingør</t>
  </si>
  <si>
    <t>Kalundborg / Aarhus</t>
  </si>
  <si>
    <t>Kalundborg / Odense</t>
  </si>
  <si>
    <t>Kalundborg / Sønderborg</t>
  </si>
  <si>
    <t>Kalundborg / Aalborg</t>
  </si>
  <si>
    <t>Kalundborg / Bornholm</t>
  </si>
  <si>
    <t>Kalundborg / Viborg</t>
  </si>
  <si>
    <t>Kalundborg / Helsingør</t>
  </si>
  <si>
    <t>Aarhus / Odense</t>
  </si>
  <si>
    <t>Aarhus / Sønderborg</t>
  </si>
  <si>
    <t>Aarhus / Aalborg</t>
  </si>
  <si>
    <t>Aarhus / Bornholm</t>
  </si>
  <si>
    <t>Aarhus / Viborg</t>
  </si>
  <si>
    <t>Aarhus / Helsingør</t>
  </si>
  <si>
    <t>Odense / Sønderborg</t>
  </si>
  <si>
    <t>Odense / Aalborg</t>
  </si>
  <si>
    <t>Odense / Bornholm</t>
  </si>
  <si>
    <t>Odense / Viborg</t>
  </si>
  <si>
    <t>Odense / Helsingør</t>
  </si>
  <si>
    <t>Sønderborg / Aalborg</t>
  </si>
  <si>
    <t>Sønderborg / Bornholm</t>
  </si>
  <si>
    <t>Sønderborg / Viborg</t>
  </si>
  <si>
    <t>Sønderborg / Helsingør</t>
  </si>
  <si>
    <t>Aalborg / Bornholm</t>
  </si>
  <si>
    <t>Aalborg / Viborg</t>
  </si>
  <si>
    <t>Aalborg / Helsingør</t>
  </si>
  <si>
    <t>Bornholm / Viborg</t>
  </si>
  <si>
    <t>Bornholm / Helsingør</t>
  </si>
  <si>
    <t>Viborg / Helsingør</t>
  </si>
  <si>
    <t>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</si>
</sst>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A0A0A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4" fontId="0" fillId="0" borderId="0" xfId="1" applyNumberFormat="1" applyFont="1"/>
    <xf numFmtId="164" fontId="0" fillId="0" borderId="0" xfId="1" applyNumberFormat="1" applyFont="1" applyAlignment="1">
      <alignment horizontal="center" wrapText="1"/>
    </xf>
    <xf numFmtId="164" fontId="7" fillId="2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43" fontId="0" fillId="0" borderId="0" xfId="0" applyNumberFormat="1"/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_(* #,##0_);_(* \(#,##0\);_(* &quot;-&quot;??_);_(@_)"/>
    </dxf>
  </dxfs>
  <tableStyles count="0" defaultTableStyle="TableStyleMedium2" defaultPivotStyle="PivotStyleLight16"/>
  <colors>
    <mruColors>
      <color rgb="FFBBCCE4"/>
      <color rgb="FFFAECEC"/>
      <color rgb="FF6B2424"/>
      <color rgb="FFEDA7E1"/>
      <color rgb="FFCE6E6E"/>
      <color rgb="FFFF2500"/>
      <color rgb="FFD27677"/>
      <color rgb="FFBE58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 b="1">
                <a:latin typeface="Georgia" panose="02040502050405020303" pitchFamily="18" charset="0"/>
                <a:cs typeface="Arial" panose="020B0604020202020204" pitchFamily="34" charset="0"/>
              </a:rPr>
              <a:t>Value-Based</a:t>
            </a:r>
            <a:r>
              <a:rPr lang="en-US" sz="2800" b="1" baseline="0">
                <a:latin typeface="Georgia" panose="02040502050405020303" pitchFamily="18" charset="0"/>
                <a:cs typeface="Arial" panose="020B0604020202020204" pitchFamily="34" charset="0"/>
              </a:rPr>
              <a:t> Fare Structure</a:t>
            </a:r>
            <a:endParaRPr lang="en-US" sz="2800" b="1">
              <a:latin typeface="Georgia" panose="02040502050405020303" pitchFamily="18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22996186657990692"/>
          <c:y val="3.65892279628576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404582874218667"/>
          <c:y val="0.19850819667408129"/>
          <c:w val="0.7704272495741169"/>
          <c:h val="0.64362778981782287"/>
        </c:manualLayout>
      </c:layout>
      <c:barChart>
        <c:barDir val="bar"/>
        <c:grouping val="stacked"/>
        <c:varyColors val="0"/>
        <c:ser>
          <c:idx val="2"/>
          <c:order val="0"/>
          <c:tx>
            <c:v>Base fee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Prices!$A$2:$A$10</c:f>
              <c:strCache>
                <c:ptCount val="9"/>
                <c:pt idx="0">
                  <c:v>Copenhagen / Billund</c:v>
                </c:pt>
                <c:pt idx="1">
                  <c:v>Copenhagen / Kalundborg</c:v>
                </c:pt>
                <c:pt idx="2">
                  <c:v>Copenhagen / Aarhus</c:v>
                </c:pt>
                <c:pt idx="3">
                  <c:v>Copenhagen / Odense</c:v>
                </c:pt>
                <c:pt idx="4">
                  <c:v>Copenhagen / Sønderborg</c:v>
                </c:pt>
                <c:pt idx="5">
                  <c:v>Copenhagen / Aalborg</c:v>
                </c:pt>
                <c:pt idx="6">
                  <c:v>Copenhagen / Bornholm</c:v>
                </c:pt>
                <c:pt idx="7">
                  <c:v>Copenhagen / Viborg</c:v>
                </c:pt>
                <c:pt idx="8">
                  <c:v>Copenhagen / Helsingør</c:v>
                </c:pt>
              </c:strCache>
            </c:strRef>
          </c:cat>
          <c:val>
            <c:numRef>
              <c:f>Prices!$M$2:$M$10</c:f>
              <c:numCache>
                <c:formatCode>_(* #,##0_);_(* \(#,##0\);_(* "-"??_);_(@_)</c:formatCode>
                <c:ptCount val="9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F7-C943-93D6-EBF754D8830F}"/>
            </c:ext>
          </c:extLst>
        </c:ser>
        <c:ser>
          <c:idx val="0"/>
          <c:order val="1"/>
          <c:tx>
            <c:v>Car Travel Cost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Prices!$A$2:$A$10</c:f>
              <c:strCache>
                <c:ptCount val="9"/>
                <c:pt idx="0">
                  <c:v>Copenhagen / Billund</c:v>
                </c:pt>
                <c:pt idx="1">
                  <c:v>Copenhagen / Kalundborg</c:v>
                </c:pt>
                <c:pt idx="2">
                  <c:v>Copenhagen / Aarhus</c:v>
                </c:pt>
                <c:pt idx="3">
                  <c:v>Copenhagen / Odense</c:v>
                </c:pt>
                <c:pt idx="4">
                  <c:v>Copenhagen / Sønderborg</c:v>
                </c:pt>
                <c:pt idx="5">
                  <c:v>Copenhagen / Aalborg</c:v>
                </c:pt>
                <c:pt idx="6">
                  <c:v>Copenhagen / Bornholm</c:v>
                </c:pt>
                <c:pt idx="7">
                  <c:v>Copenhagen / Viborg</c:v>
                </c:pt>
                <c:pt idx="8">
                  <c:v>Copenhagen / Helsingør</c:v>
                </c:pt>
              </c:strCache>
            </c:strRef>
          </c:cat>
          <c:val>
            <c:numRef>
              <c:f>Prices!$K$2:$K$10</c:f>
              <c:numCache>
                <c:formatCode>_(* #,##0_);_(* \(#,##0\);_(* "-"??_);_(@_)</c:formatCode>
                <c:ptCount val="9"/>
                <c:pt idx="0">
                  <c:v>801</c:v>
                </c:pt>
                <c:pt idx="1">
                  <c:v>300</c:v>
                </c:pt>
                <c:pt idx="2">
                  <c:v>1041</c:v>
                </c:pt>
                <c:pt idx="3">
                  <c:v>531</c:v>
                </c:pt>
                <c:pt idx="4">
                  <c:v>975</c:v>
                </c:pt>
                <c:pt idx="5">
                  <c:v>1245</c:v>
                </c:pt>
                <c:pt idx="6">
                  <c:v>480</c:v>
                </c:pt>
                <c:pt idx="7">
                  <c:v>978</c:v>
                </c:pt>
                <c:pt idx="8">
                  <c:v>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7-C943-93D6-EBF754D8830F}"/>
            </c:ext>
          </c:extLst>
        </c:ser>
        <c:ser>
          <c:idx val="3"/>
          <c:order val="2"/>
          <c:tx>
            <c:v>Time Saving Value</c:v>
          </c:tx>
          <c:spPr>
            <a:solidFill>
              <a:srgbClr val="CE6E6E"/>
            </a:solidFill>
            <a:ln>
              <a:solidFill>
                <a:srgbClr val="6B2424"/>
              </a:solidFill>
            </a:ln>
            <a:effectLst/>
          </c:spPr>
          <c:invertIfNegative val="0"/>
          <c:cat>
            <c:strRef>
              <c:f>Prices!$A$2:$A$10</c:f>
              <c:strCache>
                <c:ptCount val="9"/>
                <c:pt idx="0">
                  <c:v>Copenhagen / Billund</c:v>
                </c:pt>
                <c:pt idx="1">
                  <c:v>Copenhagen / Kalundborg</c:v>
                </c:pt>
                <c:pt idx="2">
                  <c:v>Copenhagen / Aarhus</c:v>
                </c:pt>
                <c:pt idx="3">
                  <c:v>Copenhagen / Odense</c:v>
                </c:pt>
                <c:pt idx="4">
                  <c:v>Copenhagen / Sønderborg</c:v>
                </c:pt>
                <c:pt idx="5">
                  <c:v>Copenhagen / Aalborg</c:v>
                </c:pt>
                <c:pt idx="6">
                  <c:v>Copenhagen / Bornholm</c:v>
                </c:pt>
                <c:pt idx="7">
                  <c:v>Copenhagen / Viborg</c:v>
                </c:pt>
                <c:pt idx="8">
                  <c:v>Copenhagen / Helsingør</c:v>
                </c:pt>
              </c:strCache>
            </c:strRef>
          </c:cat>
          <c:val>
            <c:numRef>
              <c:f>Prices!$N$2:$N$10</c:f>
              <c:numCache>
                <c:formatCode>_(* #,##0_);_(* \(#,##0\);_(* "-"??_);_(@_)</c:formatCode>
                <c:ptCount val="9"/>
                <c:pt idx="0">
                  <c:v>941.33333333333326</c:v>
                </c:pt>
                <c:pt idx="1">
                  <c:v>429.33333333333337</c:v>
                </c:pt>
                <c:pt idx="2">
                  <c:v>1324</c:v>
                </c:pt>
                <c:pt idx="3">
                  <c:v>644</c:v>
                </c:pt>
                <c:pt idx="4">
                  <c:v>1104</c:v>
                </c:pt>
                <c:pt idx="5">
                  <c:v>1450.6666666666667</c:v>
                </c:pt>
                <c:pt idx="6">
                  <c:v>1448</c:v>
                </c:pt>
                <c:pt idx="7">
                  <c:v>1241.3333333333333</c:v>
                </c:pt>
                <c:pt idx="8">
                  <c:v>310.66666666666669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F7-C943-93D6-EBF754D8830F}"/>
            </c:ext>
          </c:extLst>
        </c:ser>
        <c:ser>
          <c:idx val="1"/>
          <c:order val="3"/>
          <c:tx>
            <c:v>Ferry Surcharge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Prices!$A$2:$A$10</c:f>
              <c:strCache>
                <c:ptCount val="9"/>
                <c:pt idx="0">
                  <c:v>Copenhagen / Billund</c:v>
                </c:pt>
                <c:pt idx="1">
                  <c:v>Copenhagen / Kalundborg</c:v>
                </c:pt>
                <c:pt idx="2">
                  <c:v>Copenhagen / Aarhus</c:v>
                </c:pt>
                <c:pt idx="3">
                  <c:v>Copenhagen / Odense</c:v>
                </c:pt>
                <c:pt idx="4">
                  <c:v>Copenhagen / Sønderborg</c:v>
                </c:pt>
                <c:pt idx="5">
                  <c:v>Copenhagen / Aalborg</c:v>
                </c:pt>
                <c:pt idx="6">
                  <c:v>Copenhagen / Bornholm</c:v>
                </c:pt>
                <c:pt idx="7">
                  <c:v>Copenhagen / Viborg</c:v>
                </c:pt>
                <c:pt idx="8">
                  <c:v>Copenhagen / Helsingør</c:v>
                </c:pt>
              </c:strCache>
            </c:strRef>
          </c:cat>
          <c:val>
            <c:numRef>
              <c:f>Prices!$L$2:$L$10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F7-C943-93D6-EBF754D883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393023039"/>
        <c:axId val="1393024751"/>
      </c:barChart>
      <c:catAx>
        <c:axId val="1393023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eorgia" panose="02040502050405020303" pitchFamily="18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93024751"/>
        <c:crosses val="autoZero"/>
        <c:auto val="1"/>
        <c:lblAlgn val="ctr"/>
        <c:lblOffset val="100"/>
        <c:noMultiLvlLbl val="0"/>
      </c:catAx>
      <c:valAx>
        <c:axId val="1393024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DKK]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54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endParaRPr lang="en-US"/>
          </a:p>
        </c:txPr>
        <c:crossAx val="1393023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4.8522721099798403E-2"/>
          <c:y val="0.13701258594091603"/>
          <c:w val="0.89999998828986194"/>
          <c:h val="3.85650737585882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eorgia" panose="02040502050405020303" pitchFamily="18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-5400000" vert="horz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latin typeface="Georgia" panose="02040502050405020303" pitchFamily="18" charset="0"/>
                <a:cs typeface="Arial" panose="020B0604020202020204" pitchFamily="34" charset="0"/>
              </a:rPr>
              <a:t>Value-Based</a:t>
            </a:r>
            <a:r>
              <a:rPr lang="en-US" sz="1400" b="1" baseline="0">
                <a:latin typeface="Georgia" panose="02040502050405020303" pitchFamily="18" charset="0"/>
                <a:cs typeface="Arial" panose="020B0604020202020204" pitchFamily="34" charset="0"/>
              </a:rPr>
              <a:t> Fare Structure</a:t>
            </a:r>
            <a:endParaRPr lang="en-US" sz="1400" b="1">
              <a:latin typeface="Georgia" panose="02040502050405020303" pitchFamily="18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26457343315334486"/>
          <c:y val="1.68003013428856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404582874218667"/>
          <c:y val="6.2649942591367414E-2"/>
          <c:w val="0.7704272495741169"/>
          <c:h val="0.90084215602163209"/>
        </c:manualLayout>
      </c:layout>
      <c:barChart>
        <c:barDir val="bar"/>
        <c:grouping val="stacked"/>
        <c:varyColors val="0"/>
        <c:ser>
          <c:idx val="2"/>
          <c:order val="0"/>
          <c:tx>
            <c:v>Base fee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Prices!$A$2:$A$46</c:f>
              <c:strCache>
                <c:ptCount val="45"/>
                <c:pt idx="0">
                  <c:v>Copenhagen / Billund</c:v>
                </c:pt>
                <c:pt idx="1">
                  <c:v>Copenhagen / Kalundborg</c:v>
                </c:pt>
                <c:pt idx="2">
                  <c:v>Copenhagen / Aarhus</c:v>
                </c:pt>
                <c:pt idx="3">
                  <c:v>Copenhagen / Odense</c:v>
                </c:pt>
                <c:pt idx="4">
                  <c:v>Copenhagen / Sønderborg</c:v>
                </c:pt>
                <c:pt idx="5">
                  <c:v>Copenhagen / Aalborg</c:v>
                </c:pt>
                <c:pt idx="6">
                  <c:v>Copenhagen / Bornholm</c:v>
                </c:pt>
                <c:pt idx="7">
                  <c:v>Copenhagen / Viborg</c:v>
                </c:pt>
                <c:pt idx="8">
                  <c:v>Copenhagen / Helsingør</c:v>
                </c:pt>
                <c:pt idx="9">
                  <c:v>Billund / Kalundborg</c:v>
                </c:pt>
                <c:pt idx="10">
                  <c:v>Billund / Aarhus</c:v>
                </c:pt>
                <c:pt idx="11">
                  <c:v>Billund / Odense</c:v>
                </c:pt>
                <c:pt idx="12">
                  <c:v>Billund / Sønderborg</c:v>
                </c:pt>
                <c:pt idx="13">
                  <c:v>Billund / Aalborg</c:v>
                </c:pt>
                <c:pt idx="14">
                  <c:v>Billund / Bornholm</c:v>
                </c:pt>
                <c:pt idx="15">
                  <c:v>Billund / Viborg</c:v>
                </c:pt>
                <c:pt idx="16">
                  <c:v>Billund / Helsingør</c:v>
                </c:pt>
                <c:pt idx="17">
                  <c:v>Kalundborg / Aarhus</c:v>
                </c:pt>
                <c:pt idx="18">
                  <c:v>Kalundborg / Odense</c:v>
                </c:pt>
                <c:pt idx="19">
                  <c:v>Kalundborg / Sønderborg</c:v>
                </c:pt>
                <c:pt idx="20">
                  <c:v>Kalundborg / Aalborg</c:v>
                </c:pt>
                <c:pt idx="21">
                  <c:v>Kalundborg / Bornholm</c:v>
                </c:pt>
                <c:pt idx="22">
                  <c:v>Kalundborg / Viborg</c:v>
                </c:pt>
                <c:pt idx="23">
                  <c:v>Kalundborg / Helsingør</c:v>
                </c:pt>
                <c:pt idx="24">
                  <c:v>Aarhus / Odense</c:v>
                </c:pt>
                <c:pt idx="25">
                  <c:v>Aarhus / Sønderborg</c:v>
                </c:pt>
                <c:pt idx="26">
                  <c:v>Aarhus / Aalborg</c:v>
                </c:pt>
                <c:pt idx="27">
                  <c:v>Aarhus / Bornholm</c:v>
                </c:pt>
                <c:pt idx="28">
                  <c:v>Aarhus / Viborg</c:v>
                </c:pt>
                <c:pt idx="29">
                  <c:v>Aarhus / Helsingør</c:v>
                </c:pt>
                <c:pt idx="30">
                  <c:v>Odense / Sønderborg</c:v>
                </c:pt>
                <c:pt idx="31">
                  <c:v>Odense / Aalborg</c:v>
                </c:pt>
                <c:pt idx="32">
                  <c:v>Odense / Bornholm</c:v>
                </c:pt>
                <c:pt idx="33">
                  <c:v>Odense / Viborg</c:v>
                </c:pt>
                <c:pt idx="34">
                  <c:v>Odense / Helsingør</c:v>
                </c:pt>
                <c:pt idx="35">
                  <c:v>Sønderborg / Aalborg</c:v>
                </c:pt>
                <c:pt idx="36">
                  <c:v>Sønderborg / Bornholm</c:v>
                </c:pt>
                <c:pt idx="37">
                  <c:v>Sønderborg / Viborg</c:v>
                </c:pt>
                <c:pt idx="38">
                  <c:v>Sønderborg / Helsingør</c:v>
                </c:pt>
                <c:pt idx="39">
                  <c:v>Aalborg / Bornholm</c:v>
                </c:pt>
                <c:pt idx="40">
                  <c:v>Aalborg / Viborg</c:v>
                </c:pt>
                <c:pt idx="41">
                  <c:v>Aalborg / Helsingør</c:v>
                </c:pt>
                <c:pt idx="42">
                  <c:v>Bornholm / Viborg</c:v>
                </c:pt>
                <c:pt idx="43">
                  <c:v>Bornholm / Helsingør</c:v>
                </c:pt>
                <c:pt idx="44">
                  <c:v>Viborg / Helsingør</c:v>
                </c:pt>
              </c:strCache>
            </c:strRef>
          </c:cat>
          <c:val>
            <c:numRef>
              <c:f>Prices!$M$2:$M$46</c:f>
              <c:numCache>
                <c:formatCode>_(* #,##0_);_(* \(#,##0\);_(* "-"??_);_(@_)</c:formatCode>
                <c:ptCount val="45"/>
                <c:pt idx="0">
                  <c:v>500</c:v>
                </c:pt>
                <c:pt idx="1">
                  <c:v>500</c:v>
                </c:pt>
                <c:pt idx="2">
                  <c:v>500</c:v>
                </c:pt>
                <c:pt idx="3">
                  <c:v>500</c:v>
                </c:pt>
                <c:pt idx="4">
                  <c:v>500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  <c:pt idx="9">
                  <c:v>500</c:v>
                </c:pt>
                <c:pt idx="10">
                  <c:v>500</c:v>
                </c:pt>
                <c:pt idx="11">
                  <c:v>500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500</c:v>
                </c:pt>
                <c:pt idx="19">
                  <c:v>500</c:v>
                </c:pt>
                <c:pt idx="20">
                  <c:v>500</c:v>
                </c:pt>
                <c:pt idx="21">
                  <c:v>500</c:v>
                </c:pt>
                <c:pt idx="22">
                  <c:v>500</c:v>
                </c:pt>
                <c:pt idx="23">
                  <c:v>500</c:v>
                </c:pt>
                <c:pt idx="24">
                  <c:v>500</c:v>
                </c:pt>
                <c:pt idx="25">
                  <c:v>500</c:v>
                </c:pt>
                <c:pt idx="26">
                  <c:v>500</c:v>
                </c:pt>
                <c:pt idx="27">
                  <c:v>500</c:v>
                </c:pt>
                <c:pt idx="28">
                  <c:v>500</c:v>
                </c:pt>
                <c:pt idx="29">
                  <c:v>500</c:v>
                </c:pt>
                <c:pt idx="30">
                  <c:v>500</c:v>
                </c:pt>
                <c:pt idx="31">
                  <c:v>500</c:v>
                </c:pt>
                <c:pt idx="32">
                  <c:v>500</c:v>
                </c:pt>
                <c:pt idx="33">
                  <c:v>500</c:v>
                </c:pt>
                <c:pt idx="34">
                  <c:v>500</c:v>
                </c:pt>
                <c:pt idx="35">
                  <c:v>500</c:v>
                </c:pt>
                <c:pt idx="36">
                  <c:v>500</c:v>
                </c:pt>
                <c:pt idx="37">
                  <c:v>500</c:v>
                </c:pt>
                <c:pt idx="38">
                  <c:v>500</c:v>
                </c:pt>
                <c:pt idx="39">
                  <c:v>500</c:v>
                </c:pt>
                <c:pt idx="40">
                  <c:v>500</c:v>
                </c:pt>
                <c:pt idx="41">
                  <c:v>500</c:v>
                </c:pt>
                <c:pt idx="42">
                  <c:v>500</c:v>
                </c:pt>
                <c:pt idx="43">
                  <c:v>500</c:v>
                </c:pt>
                <c:pt idx="4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67-FA4E-8307-A6F7928299DD}"/>
            </c:ext>
          </c:extLst>
        </c:ser>
        <c:ser>
          <c:idx val="0"/>
          <c:order val="1"/>
          <c:tx>
            <c:v>Car Travel Cost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Prices!$A$2:$A$46</c:f>
              <c:strCache>
                <c:ptCount val="45"/>
                <c:pt idx="0">
                  <c:v>Copenhagen / Billund</c:v>
                </c:pt>
                <c:pt idx="1">
                  <c:v>Copenhagen / Kalundborg</c:v>
                </c:pt>
                <c:pt idx="2">
                  <c:v>Copenhagen / Aarhus</c:v>
                </c:pt>
                <c:pt idx="3">
                  <c:v>Copenhagen / Odense</c:v>
                </c:pt>
                <c:pt idx="4">
                  <c:v>Copenhagen / Sønderborg</c:v>
                </c:pt>
                <c:pt idx="5">
                  <c:v>Copenhagen / Aalborg</c:v>
                </c:pt>
                <c:pt idx="6">
                  <c:v>Copenhagen / Bornholm</c:v>
                </c:pt>
                <c:pt idx="7">
                  <c:v>Copenhagen / Viborg</c:v>
                </c:pt>
                <c:pt idx="8">
                  <c:v>Copenhagen / Helsingør</c:v>
                </c:pt>
                <c:pt idx="9">
                  <c:v>Billund / Kalundborg</c:v>
                </c:pt>
                <c:pt idx="10">
                  <c:v>Billund / Aarhus</c:v>
                </c:pt>
                <c:pt idx="11">
                  <c:v>Billund / Odense</c:v>
                </c:pt>
                <c:pt idx="12">
                  <c:v>Billund / Sønderborg</c:v>
                </c:pt>
                <c:pt idx="13">
                  <c:v>Billund / Aalborg</c:v>
                </c:pt>
                <c:pt idx="14">
                  <c:v>Billund / Bornholm</c:v>
                </c:pt>
                <c:pt idx="15">
                  <c:v>Billund / Viborg</c:v>
                </c:pt>
                <c:pt idx="16">
                  <c:v>Billund / Helsingør</c:v>
                </c:pt>
                <c:pt idx="17">
                  <c:v>Kalundborg / Aarhus</c:v>
                </c:pt>
                <c:pt idx="18">
                  <c:v>Kalundborg / Odense</c:v>
                </c:pt>
                <c:pt idx="19">
                  <c:v>Kalundborg / Sønderborg</c:v>
                </c:pt>
                <c:pt idx="20">
                  <c:v>Kalundborg / Aalborg</c:v>
                </c:pt>
                <c:pt idx="21">
                  <c:v>Kalundborg / Bornholm</c:v>
                </c:pt>
                <c:pt idx="22">
                  <c:v>Kalundborg / Viborg</c:v>
                </c:pt>
                <c:pt idx="23">
                  <c:v>Kalundborg / Helsingør</c:v>
                </c:pt>
                <c:pt idx="24">
                  <c:v>Aarhus / Odense</c:v>
                </c:pt>
                <c:pt idx="25">
                  <c:v>Aarhus / Sønderborg</c:v>
                </c:pt>
                <c:pt idx="26">
                  <c:v>Aarhus / Aalborg</c:v>
                </c:pt>
                <c:pt idx="27">
                  <c:v>Aarhus / Bornholm</c:v>
                </c:pt>
                <c:pt idx="28">
                  <c:v>Aarhus / Viborg</c:v>
                </c:pt>
                <c:pt idx="29">
                  <c:v>Aarhus / Helsingør</c:v>
                </c:pt>
                <c:pt idx="30">
                  <c:v>Odense / Sønderborg</c:v>
                </c:pt>
                <c:pt idx="31">
                  <c:v>Odense / Aalborg</c:v>
                </c:pt>
                <c:pt idx="32">
                  <c:v>Odense / Bornholm</c:v>
                </c:pt>
                <c:pt idx="33">
                  <c:v>Odense / Viborg</c:v>
                </c:pt>
                <c:pt idx="34">
                  <c:v>Odense / Helsingør</c:v>
                </c:pt>
                <c:pt idx="35">
                  <c:v>Sønderborg / Aalborg</c:v>
                </c:pt>
                <c:pt idx="36">
                  <c:v>Sønderborg / Bornholm</c:v>
                </c:pt>
                <c:pt idx="37">
                  <c:v>Sønderborg / Viborg</c:v>
                </c:pt>
                <c:pt idx="38">
                  <c:v>Sønderborg / Helsingør</c:v>
                </c:pt>
                <c:pt idx="39">
                  <c:v>Aalborg / Bornholm</c:v>
                </c:pt>
                <c:pt idx="40">
                  <c:v>Aalborg / Viborg</c:v>
                </c:pt>
                <c:pt idx="41">
                  <c:v>Aalborg / Helsingør</c:v>
                </c:pt>
                <c:pt idx="42">
                  <c:v>Bornholm / Viborg</c:v>
                </c:pt>
                <c:pt idx="43">
                  <c:v>Bornholm / Helsingør</c:v>
                </c:pt>
                <c:pt idx="44">
                  <c:v>Viborg / Helsingør</c:v>
                </c:pt>
              </c:strCache>
            </c:strRef>
          </c:cat>
          <c:val>
            <c:numRef>
              <c:f>Prices!$K$2:$K$46</c:f>
              <c:numCache>
                <c:formatCode>_(* #,##0_);_(* \(#,##0\);_(* "-"??_);_(@_)</c:formatCode>
                <c:ptCount val="45"/>
                <c:pt idx="0">
                  <c:v>801</c:v>
                </c:pt>
                <c:pt idx="1">
                  <c:v>300</c:v>
                </c:pt>
                <c:pt idx="2">
                  <c:v>1041</c:v>
                </c:pt>
                <c:pt idx="3">
                  <c:v>531</c:v>
                </c:pt>
                <c:pt idx="4">
                  <c:v>975</c:v>
                </c:pt>
                <c:pt idx="5">
                  <c:v>1245</c:v>
                </c:pt>
                <c:pt idx="6">
                  <c:v>480</c:v>
                </c:pt>
                <c:pt idx="7">
                  <c:v>978</c:v>
                </c:pt>
                <c:pt idx="8">
                  <c:v>210</c:v>
                </c:pt>
                <c:pt idx="9">
                  <c:v>633</c:v>
                </c:pt>
                <c:pt idx="10">
                  <c:v>411</c:v>
                </c:pt>
                <c:pt idx="11">
                  <c:v>318</c:v>
                </c:pt>
                <c:pt idx="12">
                  <c:v>411</c:v>
                </c:pt>
                <c:pt idx="13">
                  <c:v>615</c:v>
                </c:pt>
                <c:pt idx="14">
                  <c:v>1278</c:v>
                </c:pt>
                <c:pt idx="15">
                  <c:v>267</c:v>
                </c:pt>
                <c:pt idx="16">
                  <c:v>915</c:v>
                </c:pt>
                <c:pt idx="17">
                  <c:v>873</c:v>
                </c:pt>
                <c:pt idx="18">
                  <c:v>363</c:v>
                </c:pt>
                <c:pt idx="19">
                  <c:v>807</c:v>
                </c:pt>
                <c:pt idx="20">
                  <c:v>1077</c:v>
                </c:pt>
                <c:pt idx="21">
                  <c:v>777</c:v>
                </c:pt>
                <c:pt idx="22">
                  <c:v>810</c:v>
                </c:pt>
                <c:pt idx="23">
                  <c:v>393</c:v>
                </c:pt>
                <c:pt idx="24">
                  <c:v>561</c:v>
                </c:pt>
                <c:pt idx="25">
                  <c:v>699</c:v>
                </c:pt>
                <c:pt idx="26">
                  <c:v>378</c:v>
                </c:pt>
                <c:pt idx="27">
                  <c:v>1521</c:v>
                </c:pt>
                <c:pt idx="28">
                  <c:v>297</c:v>
                </c:pt>
                <c:pt idx="29">
                  <c:v>1161</c:v>
                </c:pt>
                <c:pt idx="30">
                  <c:v>492</c:v>
                </c:pt>
                <c:pt idx="31">
                  <c:v>762</c:v>
                </c:pt>
                <c:pt idx="32">
                  <c:v>1011</c:v>
                </c:pt>
                <c:pt idx="33">
                  <c:v>495</c:v>
                </c:pt>
                <c:pt idx="34">
                  <c:v>648</c:v>
                </c:pt>
                <c:pt idx="35">
                  <c:v>897</c:v>
                </c:pt>
                <c:pt idx="36">
                  <c:v>1452</c:v>
                </c:pt>
                <c:pt idx="37">
                  <c:v>630</c:v>
                </c:pt>
                <c:pt idx="38">
                  <c:v>1089</c:v>
                </c:pt>
                <c:pt idx="39">
                  <c:v>1725</c:v>
                </c:pt>
                <c:pt idx="40">
                  <c:v>252</c:v>
                </c:pt>
                <c:pt idx="41">
                  <c:v>1362</c:v>
                </c:pt>
                <c:pt idx="42">
                  <c:v>1458</c:v>
                </c:pt>
                <c:pt idx="43">
                  <c:v>690</c:v>
                </c:pt>
                <c:pt idx="44">
                  <c:v>1098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67-FA4E-8307-A6F7928299DD}"/>
            </c:ext>
          </c:extLst>
        </c:ser>
        <c:ser>
          <c:idx val="3"/>
          <c:order val="2"/>
          <c:tx>
            <c:v>Time Saving Value</c:v>
          </c:tx>
          <c:spPr>
            <a:solidFill>
              <a:srgbClr val="CE6E6E"/>
            </a:solidFill>
            <a:ln>
              <a:solidFill>
                <a:srgbClr val="6B2424"/>
              </a:solidFill>
            </a:ln>
            <a:effectLst/>
          </c:spPr>
          <c:invertIfNegative val="0"/>
          <c:cat>
            <c:strRef>
              <c:f>Prices!$A$2:$A$46</c:f>
              <c:strCache>
                <c:ptCount val="45"/>
                <c:pt idx="0">
                  <c:v>Copenhagen / Billund</c:v>
                </c:pt>
                <c:pt idx="1">
                  <c:v>Copenhagen / Kalundborg</c:v>
                </c:pt>
                <c:pt idx="2">
                  <c:v>Copenhagen / Aarhus</c:v>
                </c:pt>
                <c:pt idx="3">
                  <c:v>Copenhagen / Odense</c:v>
                </c:pt>
                <c:pt idx="4">
                  <c:v>Copenhagen / Sønderborg</c:v>
                </c:pt>
                <c:pt idx="5">
                  <c:v>Copenhagen / Aalborg</c:v>
                </c:pt>
                <c:pt idx="6">
                  <c:v>Copenhagen / Bornholm</c:v>
                </c:pt>
                <c:pt idx="7">
                  <c:v>Copenhagen / Viborg</c:v>
                </c:pt>
                <c:pt idx="8">
                  <c:v>Copenhagen / Helsingør</c:v>
                </c:pt>
                <c:pt idx="9">
                  <c:v>Billund / Kalundborg</c:v>
                </c:pt>
                <c:pt idx="10">
                  <c:v>Billund / Aarhus</c:v>
                </c:pt>
                <c:pt idx="11">
                  <c:v>Billund / Odense</c:v>
                </c:pt>
                <c:pt idx="12">
                  <c:v>Billund / Sønderborg</c:v>
                </c:pt>
                <c:pt idx="13">
                  <c:v>Billund / Aalborg</c:v>
                </c:pt>
                <c:pt idx="14">
                  <c:v>Billund / Bornholm</c:v>
                </c:pt>
                <c:pt idx="15">
                  <c:v>Billund / Viborg</c:v>
                </c:pt>
                <c:pt idx="16">
                  <c:v>Billund / Helsingør</c:v>
                </c:pt>
                <c:pt idx="17">
                  <c:v>Kalundborg / Aarhus</c:v>
                </c:pt>
                <c:pt idx="18">
                  <c:v>Kalundborg / Odense</c:v>
                </c:pt>
                <c:pt idx="19">
                  <c:v>Kalundborg / Sønderborg</c:v>
                </c:pt>
                <c:pt idx="20">
                  <c:v>Kalundborg / Aalborg</c:v>
                </c:pt>
                <c:pt idx="21">
                  <c:v>Kalundborg / Bornholm</c:v>
                </c:pt>
                <c:pt idx="22">
                  <c:v>Kalundborg / Viborg</c:v>
                </c:pt>
                <c:pt idx="23">
                  <c:v>Kalundborg / Helsingør</c:v>
                </c:pt>
                <c:pt idx="24">
                  <c:v>Aarhus / Odense</c:v>
                </c:pt>
                <c:pt idx="25">
                  <c:v>Aarhus / Sønderborg</c:v>
                </c:pt>
                <c:pt idx="26">
                  <c:v>Aarhus / Aalborg</c:v>
                </c:pt>
                <c:pt idx="27">
                  <c:v>Aarhus / Bornholm</c:v>
                </c:pt>
                <c:pt idx="28">
                  <c:v>Aarhus / Viborg</c:v>
                </c:pt>
                <c:pt idx="29">
                  <c:v>Aarhus / Helsingør</c:v>
                </c:pt>
                <c:pt idx="30">
                  <c:v>Odense / Sønderborg</c:v>
                </c:pt>
                <c:pt idx="31">
                  <c:v>Odense / Aalborg</c:v>
                </c:pt>
                <c:pt idx="32">
                  <c:v>Odense / Bornholm</c:v>
                </c:pt>
                <c:pt idx="33">
                  <c:v>Odense / Viborg</c:v>
                </c:pt>
                <c:pt idx="34">
                  <c:v>Odense / Helsingør</c:v>
                </c:pt>
                <c:pt idx="35">
                  <c:v>Sønderborg / Aalborg</c:v>
                </c:pt>
                <c:pt idx="36">
                  <c:v>Sønderborg / Bornholm</c:v>
                </c:pt>
                <c:pt idx="37">
                  <c:v>Sønderborg / Viborg</c:v>
                </c:pt>
                <c:pt idx="38">
                  <c:v>Sønderborg / Helsingør</c:v>
                </c:pt>
                <c:pt idx="39">
                  <c:v>Aalborg / Bornholm</c:v>
                </c:pt>
                <c:pt idx="40">
                  <c:v>Aalborg / Viborg</c:v>
                </c:pt>
                <c:pt idx="41">
                  <c:v>Aalborg / Helsingør</c:v>
                </c:pt>
                <c:pt idx="42">
                  <c:v>Bornholm / Viborg</c:v>
                </c:pt>
                <c:pt idx="43">
                  <c:v>Bornholm / Helsingør</c:v>
                </c:pt>
                <c:pt idx="44">
                  <c:v>Viborg / Helsingør</c:v>
                </c:pt>
              </c:strCache>
            </c:strRef>
          </c:cat>
          <c:val>
            <c:numRef>
              <c:f>Prices!$N$2:$N$46</c:f>
              <c:numCache>
                <c:formatCode>_(* #,##0_);_(* \(#,##0\);_(* "-"??_);_(@_)</c:formatCode>
                <c:ptCount val="45"/>
                <c:pt idx="0">
                  <c:v>941.33333333333326</c:v>
                </c:pt>
                <c:pt idx="1">
                  <c:v>429.33333333333337</c:v>
                </c:pt>
                <c:pt idx="2">
                  <c:v>1324</c:v>
                </c:pt>
                <c:pt idx="3">
                  <c:v>644</c:v>
                </c:pt>
                <c:pt idx="4">
                  <c:v>1104</c:v>
                </c:pt>
                <c:pt idx="5">
                  <c:v>1450.6666666666667</c:v>
                </c:pt>
                <c:pt idx="6">
                  <c:v>1448</c:v>
                </c:pt>
                <c:pt idx="7">
                  <c:v>1241.3333333333333</c:v>
                </c:pt>
                <c:pt idx="8">
                  <c:v>310.66666666666669</c:v>
                </c:pt>
                <c:pt idx="9">
                  <c:v>978.66666666666674</c:v>
                </c:pt>
                <c:pt idx="10">
                  <c:v>540</c:v>
                </c:pt>
                <c:pt idx="11">
                  <c:v>486.66666666666669</c:v>
                </c:pt>
                <c:pt idx="12">
                  <c:v>536.00000000000011</c:v>
                </c:pt>
                <c:pt idx="13">
                  <c:v>718.66666666666663</c:v>
                </c:pt>
                <c:pt idx="14">
                  <c:v>2381.3333333333335</c:v>
                </c:pt>
                <c:pt idx="15">
                  <c:v>478.66666666666669</c:v>
                </c:pt>
                <c:pt idx="16">
                  <c:v>1164</c:v>
                </c:pt>
                <c:pt idx="17">
                  <c:v>1330.6666666666667</c:v>
                </c:pt>
                <c:pt idx="18">
                  <c:v>669.33333333333337</c:v>
                </c:pt>
                <c:pt idx="19">
                  <c:v>1112.0000000000002</c:v>
                </c:pt>
                <c:pt idx="20">
                  <c:v>1444</c:v>
                </c:pt>
                <c:pt idx="21">
                  <c:v>1853.3333333333335</c:v>
                </c:pt>
                <c:pt idx="22">
                  <c:v>1262.6666666666667</c:v>
                </c:pt>
                <c:pt idx="23">
                  <c:v>597.33333333333337</c:v>
                </c:pt>
                <c:pt idx="24">
                  <c:v>742.66666666666674</c:v>
                </c:pt>
                <c:pt idx="25">
                  <c:v>778.66666666666663</c:v>
                </c:pt>
                <c:pt idx="26">
                  <c:v>500</c:v>
                </c:pt>
                <c:pt idx="27">
                  <c:v>2746.666666666667</c:v>
                </c:pt>
                <c:pt idx="28">
                  <c:v>480</c:v>
                </c:pt>
                <c:pt idx="29">
                  <c:v>1560</c:v>
                </c:pt>
                <c:pt idx="30">
                  <c:v>640</c:v>
                </c:pt>
                <c:pt idx="31">
                  <c:v>889.33333333333337</c:v>
                </c:pt>
                <c:pt idx="32">
                  <c:v>2085.3333333333335</c:v>
                </c:pt>
                <c:pt idx="33">
                  <c:v>749.33333333333337</c:v>
                </c:pt>
                <c:pt idx="34">
                  <c:v>846.66666666666674</c:v>
                </c:pt>
                <c:pt idx="35">
                  <c:v>924</c:v>
                </c:pt>
                <c:pt idx="36">
                  <c:v>2566.666666666667</c:v>
                </c:pt>
                <c:pt idx="37">
                  <c:v>798.66666666666663</c:v>
                </c:pt>
                <c:pt idx="38">
                  <c:v>1292.0000000000002</c:v>
                </c:pt>
                <c:pt idx="39">
                  <c:v>2873.3333333333335</c:v>
                </c:pt>
                <c:pt idx="40">
                  <c:v>366.66666666666669</c:v>
                </c:pt>
                <c:pt idx="41">
                  <c:v>1694.6666666666667</c:v>
                </c:pt>
                <c:pt idx="42">
                  <c:v>2676</c:v>
                </c:pt>
                <c:pt idx="43">
                  <c:v>1764.0000000000002</c:v>
                </c:pt>
                <c:pt idx="44">
                  <c:v>1493.3333333333335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67-FA4E-8307-A6F7928299DD}"/>
            </c:ext>
          </c:extLst>
        </c:ser>
        <c:ser>
          <c:idx val="1"/>
          <c:order val="3"/>
          <c:tx>
            <c:v>Ferry Surcharge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Prices!$A$2:$A$46</c:f>
              <c:strCache>
                <c:ptCount val="45"/>
                <c:pt idx="0">
                  <c:v>Copenhagen / Billund</c:v>
                </c:pt>
                <c:pt idx="1">
                  <c:v>Copenhagen / Kalundborg</c:v>
                </c:pt>
                <c:pt idx="2">
                  <c:v>Copenhagen / Aarhus</c:v>
                </c:pt>
                <c:pt idx="3">
                  <c:v>Copenhagen / Odense</c:v>
                </c:pt>
                <c:pt idx="4">
                  <c:v>Copenhagen / Sønderborg</c:v>
                </c:pt>
                <c:pt idx="5">
                  <c:v>Copenhagen / Aalborg</c:v>
                </c:pt>
                <c:pt idx="6">
                  <c:v>Copenhagen / Bornholm</c:v>
                </c:pt>
                <c:pt idx="7">
                  <c:v>Copenhagen / Viborg</c:v>
                </c:pt>
                <c:pt idx="8">
                  <c:v>Copenhagen / Helsingør</c:v>
                </c:pt>
                <c:pt idx="9">
                  <c:v>Billund / Kalundborg</c:v>
                </c:pt>
                <c:pt idx="10">
                  <c:v>Billund / Aarhus</c:v>
                </c:pt>
                <c:pt idx="11">
                  <c:v>Billund / Odense</c:v>
                </c:pt>
                <c:pt idx="12">
                  <c:v>Billund / Sønderborg</c:v>
                </c:pt>
                <c:pt idx="13">
                  <c:v>Billund / Aalborg</c:v>
                </c:pt>
                <c:pt idx="14">
                  <c:v>Billund / Bornholm</c:v>
                </c:pt>
                <c:pt idx="15">
                  <c:v>Billund / Viborg</c:v>
                </c:pt>
                <c:pt idx="16">
                  <c:v>Billund / Helsingør</c:v>
                </c:pt>
                <c:pt idx="17">
                  <c:v>Kalundborg / Aarhus</c:v>
                </c:pt>
                <c:pt idx="18">
                  <c:v>Kalundborg / Odense</c:v>
                </c:pt>
                <c:pt idx="19">
                  <c:v>Kalundborg / Sønderborg</c:v>
                </c:pt>
                <c:pt idx="20">
                  <c:v>Kalundborg / Aalborg</c:v>
                </c:pt>
                <c:pt idx="21">
                  <c:v>Kalundborg / Bornholm</c:v>
                </c:pt>
                <c:pt idx="22">
                  <c:v>Kalundborg / Viborg</c:v>
                </c:pt>
                <c:pt idx="23">
                  <c:v>Kalundborg / Helsingør</c:v>
                </c:pt>
                <c:pt idx="24">
                  <c:v>Aarhus / Odense</c:v>
                </c:pt>
                <c:pt idx="25">
                  <c:v>Aarhus / Sønderborg</c:v>
                </c:pt>
                <c:pt idx="26">
                  <c:v>Aarhus / Aalborg</c:v>
                </c:pt>
                <c:pt idx="27">
                  <c:v>Aarhus / Bornholm</c:v>
                </c:pt>
                <c:pt idx="28">
                  <c:v>Aarhus / Viborg</c:v>
                </c:pt>
                <c:pt idx="29">
                  <c:v>Aarhus / Helsingør</c:v>
                </c:pt>
                <c:pt idx="30">
                  <c:v>Odense / Sønderborg</c:v>
                </c:pt>
                <c:pt idx="31">
                  <c:v>Odense / Aalborg</c:v>
                </c:pt>
                <c:pt idx="32">
                  <c:v>Odense / Bornholm</c:v>
                </c:pt>
                <c:pt idx="33">
                  <c:v>Odense / Viborg</c:v>
                </c:pt>
                <c:pt idx="34">
                  <c:v>Odense / Helsingør</c:v>
                </c:pt>
                <c:pt idx="35">
                  <c:v>Sønderborg / Aalborg</c:v>
                </c:pt>
                <c:pt idx="36">
                  <c:v>Sønderborg / Bornholm</c:v>
                </c:pt>
                <c:pt idx="37">
                  <c:v>Sønderborg / Viborg</c:v>
                </c:pt>
                <c:pt idx="38">
                  <c:v>Sønderborg / Helsingør</c:v>
                </c:pt>
                <c:pt idx="39">
                  <c:v>Aalborg / Bornholm</c:v>
                </c:pt>
                <c:pt idx="40">
                  <c:v>Aalborg / Viborg</c:v>
                </c:pt>
                <c:pt idx="41">
                  <c:v>Aalborg / Helsingør</c:v>
                </c:pt>
                <c:pt idx="42">
                  <c:v>Bornholm / Viborg</c:v>
                </c:pt>
                <c:pt idx="43">
                  <c:v>Bornholm / Helsingør</c:v>
                </c:pt>
                <c:pt idx="44">
                  <c:v>Viborg / Helsingør</c:v>
                </c:pt>
              </c:strCache>
            </c:strRef>
          </c:cat>
          <c:val>
            <c:numRef>
              <c:f>Prices!$L$2:$L$46</c:f>
              <c:numCache>
                <c:formatCode>_(* #,##0_);_(* \(#,##0\);_(* "-"??_);_(@_)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250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250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250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250</c:v>
                </c:pt>
                <c:pt idx="37">
                  <c:v>0</c:v>
                </c:pt>
                <c:pt idx="38">
                  <c:v>0</c:v>
                </c:pt>
                <c:pt idx="39">
                  <c:v>250</c:v>
                </c:pt>
                <c:pt idx="40">
                  <c:v>0</c:v>
                </c:pt>
                <c:pt idx="41">
                  <c:v>0</c:v>
                </c:pt>
                <c:pt idx="42">
                  <c:v>250</c:v>
                </c:pt>
                <c:pt idx="43">
                  <c:v>250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67-FA4E-8307-A6F792829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393023039"/>
        <c:axId val="1393024751"/>
      </c:barChart>
      <c:catAx>
        <c:axId val="1393023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eorgia" panose="02040502050405020303" pitchFamily="18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93024751"/>
        <c:crosses val="autoZero"/>
        <c:auto val="1"/>
        <c:lblAlgn val="ctr"/>
        <c:lblOffset val="100"/>
        <c:noMultiLvlLbl val="0"/>
      </c:catAx>
      <c:valAx>
        <c:axId val="1393024751"/>
        <c:scaling>
          <c:orientation val="minMax"/>
          <c:max val="5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DKK]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eorgia" panose="02040502050405020303" pitchFamily="18" charset="0"/>
                <a:ea typeface="+mn-ea"/>
                <a:cs typeface="+mn-cs"/>
              </a:defRPr>
            </a:pPr>
            <a:endParaRPr lang="en-US"/>
          </a:p>
        </c:txPr>
        <c:crossAx val="1393023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4.6214585357570982E-2"/>
          <c:y val="2.9213114784751127E-2"/>
          <c:w val="0.8999999426991564"/>
          <c:h val="3.85302990463246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Georgia" panose="02040502050405020303" pitchFamily="18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792487</xdr:colOff>
      <xdr:row>0</xdr:row>
      <xdr:rowOff>52280</xdr:rowOff>
    </xdr:from>
    <xdr:to>
      <xdr:col>31</xdr:col>
      <xdr:colOff>577563</xdr:colOff>
      <xdr:row>46</xdr:row>
      <xdr:rowOff>69563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E0D721-651A-715E-24B4-38BEC063F8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46566</xdr:colOff>
      <xdr:row>48</xdr:row>
      <xdr:rowOff>29634</xdr:rowOff>
    </xdr:from>
    <xdr:to>
      <xdr:col>27</xdr:col>
      <xdr:colOff>165100</xdr:colOff>
      <xdr:row>95</xdr:row>
      <xdr:rowOff>105835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D6C708B-4A54-AF44-8EF1-7ECEE5F621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B1:O56" totalsRowShown="0" headerRowDxfId="7" dataDxfId="6">
  <autoFilter ref="B1:O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/>
    <tableColumn id="11" xr3:uid="{CC283087-BB53-D146-A233-2D178D7E3562}" name="Færge (gns. Gælder kun Bornholm)" dataDxfId="3"/>
    <tableColumn id="12" xr3:uid="{B4DC4D17-2AE3-D34D-926C-7506AC52E6B8}" name="Base" dataDxfId="2">
      <calculatedColumnFormula>$R$5</calculatedColumnFormula>
    </tableColumn>
    <tableColumn id="13" xr3:uid="{E70B016F-0534-2048-951F-6FD04DC33B7C}" name="Pris (udfra tidsbesparelse)" dataDxfId="1">
      <calculatedColumnFormula>$R$4*MAX(G2-H2*$R$1)*$R$3</calculatedColumnFormula>
    </tableColumn>
    <tableColumn id="14" xr3:uid="{67EF8C2F-B7CB-8D4A-8447-692E942D0514}" name="fd_sum" dataDxfId="0">
      <calculatedColumnFormula>SUM(K2:N2)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B6" sqref="B6"/>
    </sheetView>
  </sheetViews>
  <sheetFormatPr baseColWidth="10" defaultColWidth="11" defaultRowHeight="16" x14ac:dyDescent="0.2"/>
  <cols>
    <col min="1" max="1" width="22.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42</v>
      </c>
      <c r="B4" s="4">
        <v>400</v>
      </c>
      <c r="D4" t="s">
        <v>43</v>
      </c>
    </row>
    <row r="5" spans="1:4" x14ac:dyDescent="0.2">
      <c r="A5" t="s">
        <v>16</v>
      </c>
      <c r="B5" s="4">
        <v>300</v>
      </c>
      <c r="D5" t="s">
        <v>40</v>
      </c>
    </row>
    <row r="6" spans="1:4" x14ac:dyDescent="0.2">
      <c r="A6" t="s">
        <v>17</v>
      </c>
      <c r="B6" s="4">
        <v>30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37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41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39</v>
      </c>
      <c r="B13" s="4">
        <v>20</v>
      </c>
      <c r="D13" s="3" t="s">
        <v>54</v>
      </c>
    </row>
    <row r="14" spans="1:4" x14ac:dyDescent="0.2">
      <c r="A14" t="s">
        <v>3</v>
      </c>
      <c r="B14" s="4">
        <f>2.11*B20</f>
        <v>2.11</v>
      </c>
      <c r="D14" s="3" t="s">
        <v>36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v>780</v>
      </c>
      <c r="D17" s="3" t="s">
        <v>14</v>
      </c>
    </row>
    <row r="20" spans="1:4" x14ac:dyDescent="0.2">
      <c r="A20" t="s">
        <v>38</v>
      </c>
      <c r="B20" s="4">
        <v>1</v>
      </c>
      <c r="D20" s="3" t="s">
        <v>44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T56"/>
  <sheetViews>
    <sheetView topLeftCell="I1" zoomScale="75" zoomScaleNormal="50" zoomScaleSheetLayoutView="100" zoomScalePageLayoutView="60" workbookViewId="0">
      <selection activeCell="O3" sqref="O3"/>
    </sheetView>
  </sheetViews>
  <sheetFormatPr baseColWidth="10" defaultColWidth="10.5" defaultRowHeight="16" outlineLevelCol="2" x14ac:dyDescent="0.2"/>
  <cols>
    <col min="1" max="1" width="19.5" bestFit="1" customWidth="1"/>
    <col min="3" max="3" width="17" bestFit="1" customWidth="1"/>
    <col min="4" max="5" width="17" customWidth="1" outlineLevel="2"/>
    <col min="6" max="6" width="12" customWidth="1" outlineLevel="2"/>
    <col min="7" max="7" width="12.5" customWidth="1" outlineLevel="2"/>
    <col min="8" max="8" width="17" customWidth="1" outlineLevel="1"/>
    <col min="9" max="9" width="19.33203125" customWidth="1" outlineLevel="2"/>
    <col min="10" max="10" width="21" style="10" customWidth="1" outlineLevel="2"/>
    <col min="11" max="11" width="13.5" style="10" customWidth="1" outlineLevel="2"/>
    <col min="12" max="12" width="32" style="10" customWidth="1" outlineLevel="2"/>
    <col min="13" max="13" width="10.5" style="10" customWidth="1" outlineLevel="2"/>
    <col min="14" max="14" width="27" style="10" customWidth="1" outlineLevel="1"/>
    <col min="15" max="15" width="10.83203125" style="10" customWidth="1"/>
    <col min="17" max="17" width="13.33203125" customWidth="1"/>
  </cols>
  <sheetData>
    <row r="1" spans="1:19" ht="17" x14ac:dyDescent="0.2">
      <c r="B1" s="7" t="s">
        <v>33</v>
      </c>
      <c r="C1" s="5" t="s">
        <v>34</v>
      </c>
      <c r="D1" s="5" t="s">
        <v>45</v>
      </c>
      <c r="E1" s="5" t="s">
        <v>46</v>
      </c>
      <c r="F1" t="s">
        <v>58</v>
      </c>
      <c r="G1" t="s">
        <v>22</v>
      </c>
      <c r="H1" t="s">
        <v>23</v>
      </c>
      <c r="I1" t="s">
        <v>24</v>
      </c>
      <c r="J1" s="10" t="s">
        <v>25</v>
      </c>
      <c r="K1" s="10" t="s">
        <v>59</v>
      </c>
      <c r="L1" s="11" t="s">
        <v>60</v>
      </c>
      <c r="M1" s="10" t="s">
        <v>61</v>
      </c>
      <c r="N1" s="12" t="s">
        <v>62</v>
      </c>
      <c r="O1" s="10" t="s">
        <v>35</v>
      </c>
      <c r="Q1" t="s">
        <v>19</v>
      </c>
      <c r="R1">
        <v>0.2</v>
      </c>
    </row>
    <row r="2" spans="1:19" x14ac:dyDescent="0.2">
      <c r="A2" t="s">
        <v>64</v>
      </c>
      <c r="B2">
        <v>1</v>
      </c>
      <c r="C2" s="6">
        <v>2</v>
      </c>
      <c r="D2" s="1" t="s">
        <v>47</v>
      </c>
      <c r="E2" s="2" t="s">
        <v>48</v>
      </c>
      <c r="F2">
        <v>267</v>
      </c>
      <c r="G2">
        <v>185</v>
      </c>
      <c r="H2">
        <v>219</v>
      </c>
      <c r="I2">
        <v>43.8</v>
      </c>
      <c r="J2">
        <v>4.2</v>
      </c>
      <c r="K2" s="10">
        <f>$R$6*F2</f>
        <v>801</v>
      </c>
      <c r="L2" s="10">
        <f>IF(B2=8,250,0)+IF(C2=8,250,0)</f>
        <v>0</v>
      </c>
      <c r="M2" s="10">
        <f>$R$5</f>
        <v>500</v>
      </c>
      <c r="N2" s="10">
        <f>$R$4*MAX(G2-H2*$R$1)*$R$3</f>
        <v>941.33333333333326</v>
      </c>
      <c r="O2" s="10">
        <f>SUM(K2:N2)</f>
        <v>2242.333333333333</v>
      </c>
      <c r="Q2" t="s">
        <v>26</v>
      </c>
      <c r="R2">
        <v>16</v>
      </c>
      <c r="S2" t="s">
        <v>27</v>
      </c>
    </row>
    <row r="3" spans="1:19" x14ac:dyDescent="0.2">
      <c r="A3" t="s">
        <v>65</v>
      </c>
      <c r="B3">
        <v>1</v>
      </c>
      <c r="C3" s="6">
        <v>3</v>
      </c>
      <c r="D3" s="1" t="s">
        <v>47</v>
      </c>
      <c r="E3" s="2" t="s">
        <v>49</v>
      </c>
      <c r="F3">
        <v>100</v>
      </c>
      <c r="G3">
        <v>82</v>
      </c>
      <c r="H3">
        <v>88</v>
      </c>
      <c r="I3">
        <v>17.600000000000001</v>
      </c>
      <c r="J3">
        <v>4.7</v>
      </c>
      <c r="K3" s="10">
        <f t="shared" ref="K3:K46" si="0">$R$6*F3</f>
        <v>300</v>
      </c>
      <c r="L3" s="10">
        <f t="shared" ref="L3:L46" si="1">IF(B3=8,250,0)+IF(C3=8,250,0)</f>
        <v>0</v>
      </c>
      <c r="M3" s="10">
        <f t="shared" ref="M3:M46" si="2">$R$5</f>
        <v>500</v>
      </c>
      <c r="N3" s="10">
        <f t="shared" ref="N3:N46" si="3">$R$4*MAX(G3-H3*$R$1)*$R$3</f>
        <v>429.33333333333337</v>
      </c>
      <c r="O3" s="10">
        <f t="shared" ref="O3:O56" si="4">SUM(K3:N3)</f>
        <v>1229.3333333333335</v>
      </c>
      <c r="Q3" t="s">
        <v>28</v>
      </c>
      <c r="R3">
        <f>800/60</f>
        <v>13.333333333333334</v>
      </c>
      <c r="S3" t="s">
        <v>29</v>
      </c>
    </row>
    <row r="4" spans="1:19" x14ac:dyDescent="0.2">
      <c r="A4" t="s">
        <v>66</v>
      </c>
      <c r="B4">
        <v>1</v>
      </c>
      <c r="C4" s="6">
        <v>4</v>
      </c>
      <c r="D4" s="1" t="s">
        <v>47</v>
      </c>
      <c r="E4" s="1" t="s">
        <v>50</v>
      </c>
      <c r="F4">
        <v>347</v>
      </c>
      <c r="G4">
        <v>228</v>
      </c>
      <c r="H4">
        <v>147</v>
      </c>
      <c r="I4">
        <v>29.4</v>
      </c>
      <c r="J4">
        <v>7.8</v>
      </c>
      <c r="K4" s="10">
        <f t="shared" si="0"/>
        <v>1041</v>
      </c>
      <c r="L4" s="10">
        <f t="shared" si="1"/>
        <v>0</v>
      </c>
      <c r="M4" s="10">
        <f t="shared" si="2"/>
        <v>500</v>
      </c>
      <c r="N4" s="10">
        <f>$R$4*MAX(G4-H4*$R$1)*$R$3</f>
        <v>1324</v>
      </c>
      <c r="O4" s="10">
        <f t="shared" si="4"/>
        <v>2865</v>
      </c>
      <c r="Q4" t="s">
        <v>30</v>
      </c>
      <c r="R4">
        <v>0.5</v>
      </c>
    </row>
    <row r="5" spans="1:19" x14ac:dyDescent="0.2">
      <c r="A5" t="s">
        <v>67</v>
      </c>
      <c r="B5">
        <v>1</v>
      </c>
      <c r="C5" s="6">
        <v>5</v>
      </c>
      <c r="D5" s="1" t="s">
        <v>47</v>
      </c>
      <c r="E5" s="1" t="s">
        <v>51</v>
      </c>
      <c r="F5">
        <v>177</v>
      </c>
      <c r="G5">
        <v>126</v>
      </c>
      <c r="H5">
        <v>147</v>
      </c>
      <c r="I5">
        <v>29.4</v>
      </c>
      <c r="J5">
        <v>4.3</v>
      </c>
      <c r="K5" s="10">
        <f>$R$6*F5</f>
        <v>531</v>
      </c>
      <c r="L5" s="10">
        <f t="shared" si="1"/>
        <v>0</v>
      </c>
      <c r="M5" s="10">
        <f t="shared" si="2"/>
        <v>500</v>
      </c>
      <c r="N5" s="10">
        <f>$R$4*MAX(G5-H5*$R$1)*$R$3</f>
        <v>644</v>
      </c>
      <c r="O5" s="10">
        <f t="shared" si="4"/>
        <v>1675</v>
      </c>
      <c r="Q5" t="s">
        <v>31</v>
      </c>
      <c r="R5">
        <v>500</v>
      </c>
      <c r="S5" t="s">
        <v>32</v>
      </c>
    </row>
    <row r="6" spans="1:19" x14ac:dyDescent="0.2">
      <c r="A6" t="s">
        <v>68</v>
      </c>
      <c r="B6">
        <v>1</v>
      </c>
      <c r="C6" s="6">
        <v>6</v>
      </c>
      <c r="D6" s="1" t="s">
        <v>47</v>
      </c>
      <c r="E6" s="1" t="s">
        <v>52</v>
      </c>
      <c r="F6">
        <v>325</v>
      </c>
      <c r="G6">
        <v>205</v>
      </c>
      <c r="H6">
        <v>197</v>
      </c>
      <c r="I6">
        <v>39.4</v>
      </c>
      <c r="J6">
        <v>5.2</v>
      </c>
      <c r="K6" s="10">
        <f t="shared" si="0"/>
        <v>975</v>
      </c>
      <c r="L6" s="10">
        <f t="shared" si="1"/>
        <v>0</v>
      </c>
      <c r="M6" s="10">
        <f t="shared" si="2"/>
        <v>500</v>
      </c>
      <c r="N6" s="10">
        <f t="shared" si="3"/>
        <v>1104</v>
      </c>
      <c r="O6" s="10">
        <f t="shared" si="4"/>
        <v>2579</v>
      </c>
      <c r="Q6" t="s">
        <v>63</v>
      </c>
      <c r="R6">
        <v>3</v>
      </c>
      <c r="S6" t="s">
        <v>32</v>
      </c>
    </row>
    <row r="7" spans="1:19" x14ac:dyDescent="0.2">
      <c r="A7" t="s">
        <v>69</v>
      </c>
      <c r="B7">
        <v>1</v>
      </c>
      <c r="C7" s="6">
        <v>7</v>
      </c>
      <c r="D7" s="1" t="s">
        <v>47</v>
      </c>
      <c r="E7" s="1" t="s">
        <v>53</v>
      </c>
      <c r="F7">
        <v>415</v>
      </c>
      <c r="G7">
        <v>263</v>
      </c>
      <c r="H7">
        <v>227</v>
      </c>
      <c r="I7">
        <v>45.4</v>
      </c>
      <c r="J7">
        <v>5.8</v>
      </c>
      <c r="K7" s="10">
        <f t="shared" si="0"/>
        <v>1245</v>
      </c>
      <c r="L7" s="10">
        <f t="shared" si="1"/>
        <v>0</v>
      </c>
      <c r="M7" s="10">
        <f t="shared" si="2"/>
        <v>500</v>
      </c>
      <c r="N7" s="10">
        <f t="shared" si="3"/>
        <v>1450.6666666666667</v>
      </c>
      <c r="O7" s="10">
        <f t="shared" si="4"/>
        <v>3195.666666666667</v>
      </c>
    </row>
    <row r="8" spans="1:19" x14ac:dyDescent="0.2">
      <c r="A8" t="s">
        <v>70</v>
      </c>
      <c r="B8">
        <v>1</v>
      </c>
      <c r="C8" s="6">
        <v>8</v>
      </c>
      <c r="D8" s="1" t="s">
        <v>47</v>
      </c>
      <c r="E8" s="1" t="s">
        <v>56</v>
      </c>
      <c r="F8">
        <v>160</v>
      </c>
      <c r="G8">
        <v>246</v>
      </c>
      <c r="H8">
        <v>144</v>
      </c>
      <c r="I8">
        <v>28.8</v>
      </c>
      <c r="J8">
        <v>8.5</v>
      </c>
      <c r="K8" s="10">
        <f t="shared" si="0"/>
        <v>480</v>
      </c>
      <c r="L8" s="10">
        <f t="shared" si="1"/>
        <v>250</v>
      </c>
      <c r="M8" s="10">
        <f t="shared" si="2"/>
        <v>500</v>
      </c>
      <c r="N8" s="10">
        <f t="shared" si="3"/>
        <v>1448</v>
      </c>
      <c r="O8" s="10">
        <f t="shared" si="4"/>
        <v>2678</v>
      </c>
    </row>
    <row r="9" spans="1:19" x14ac:dyDescent="0.2">
      <c r="A9" t="s">
        <v>71</v>
      </c>
      <c r="B9">
        <v>1</v>
      </c>
      <c r="C9" s="6">
        <v>9</v>
      </c>
      <c r="D9" s="1" t="s">
        <v>47</v>
      </c>
      <c r="E9" s="1" t="s">
        <v>55</v>
      </c>
      <c r="F9">
        <v>326</v>
      </c>
      <c r="G9">
        <v>230</v>
      </c>
      <c r="H9">
        <v>219</v>
      </c>
      <c r="I9">
        <v>43.8</v>
      </c>
      <c r="J9">
        <v>5.3</v>
      </c>
      <c r="K9" s="10">
        <f t="shared" si="0"/>
        <v>978</v>
      </c>
      <c r="L9" s="10">
        <f t="shared" si="1"/>
        <v>0</v>
      </c>
      <c r="M9" s="10">
        <f t="shared" si="2"/>
        <v>500</v>
      </c>
      <c r="N9" s="10">
        <f>$R$4*MAX(G9-H9*$R$1)*$R$3</f>
        <v>1241.3333333333333</v>
      </c>
      <c r="O9" s="10">
        <f t="shared" si="4"/>
        <v>2719.333333333333</v>
      </c>
    </row>
    <row r="10" spans="1:19" x14ac:dyDescent="0.2">
      <c r="A10" t="s">
        <v>72</v>
      </c>
      <c r="B10">
        <v>1</v>
      </c>
      <c r="C10" s="6">
        <v>10</v>
      </c>
      <c r="D10" s="1" t="s">
        <v>47</v>
      </c>
      <c r="E10" s="1" t="s">
        <v>57</v>
      </c>
      <c r="F10">
        <v>70</v>
      </c>
      <c r="G10">
        <v>56</v>
      </c>
      <c r="H10">
        <v>47</v>
      </c>
      <c r="I10">
        <v>9.4</v>
      </c>
      <c r="J10">
        <v>6</v>
      </c>
      <c r="K10" s="10">
        <f t="shared" si="0"/>
        <v>210</v>
      </c>
      <c r="L10" s="10">
        <f t="shared" si="1"/>
        <v>0</v>
      </c>
      <c r="M10" s="10">
        <f t="shared" si="2"/>
        <v>500</v>
      </c>
      <c r="N10" s="10">
        <f t="shared" si="3"/>
        <v>310.66666666666669</v>
      </c>
      <c r="O10" s="10">
        <f t="shared" si="4"/>
        <v>1020.6666666666667</v>
      </c>
    </row>
    <row r="11" spans="1:19" x14ac:dyDescent="0.2">
      <c r="A11" t="s">
        <v>73</v>
      </c>
      <c r="B11">
        <v>2</v>
      </c>
      <c r="C11" s="6">
        <v>3</v>
      </c>
      <c r="D11" s="2" t="s">
        <v>48</v>
      </c>
      <c r="E11" s="2" t="s">
        <v>49</v>
      </c>
      <c r="F11">
        <v>211</v>
      </c>
      <c r="G11">
        <v>173</v>
      </c>
      <c r="H11">
        <v>131</v>
      </c>
      <c r="I11">
        <v>26.2</v>
      </c>
      <c r="J11">
        <v>6.6</v>
      </c>
      <c r="K11" s="10">
        <f t="shared" si="0"/>
        <v>633</v>
      </c>
      <c r="L11" s="10">
        <f t="shared" si="1"/>
        <v>0</v>
      </c>
      <c r="M11" s="10">
        <f t="shared" si="2"/>
        <v>500</v>
      </c>
      <c r="N11" s="10">
        <f t="shared" si="3"/>
        <v>978.66666666666674</v>
      </c>
      <c r="O11" s="10">
        <f t="shared" si="4"/>
        <v>2111.666666666667</v>
      </c>
    </row>
    <row r="12" spans="1:19" x14ac:dyDescent="0.2">
      <c r="A12" t="s">
        <v>74</v>
      </c>
      <c r="B12">
        <v>2</v>
      </c>
      <c r="C12" s="6">
        <v>4</v>
      </c>
      <c r="D12" s="2" t="s">
        <v>48</v>
      </c>
      <c r="E12" s="1" t="s">
        <v>50</v>
      </c>
      <c r="F12">
        <v>137</v>
      </c>
      <c r="G12">
        <v>103</v>
      </c>
      <c r="H12">
        <v>110</v>
      </c>
      <c r="I12">
        <v>22</v>
      </c>
      <c r="J12">
        <v>4.7</v>
      </c>
      <c r="K12" s="10">
        <f t="shared" si="0"/>
        <v>411</v>
      </c>
      <c r="L12" s="10">
        <f t="shared" si="1"/>
        <v>0</v>
      </c>
      <c r="M12" s="10">
        <f t="shared" si="2"/>
        <v>500</v>
      </c>
      <c r="N12" s="10">
        <f t="shared" si="3"/>
        <v>540</v>
      </c>
      <c r="O12" s="10">
        <f t="shared" si="4"/>
        <v>1451</v>
      </c>
    </row>
    <row r="13" spans="1:19" x14ac:dyDescent="0.2">
      <c r="A13" t="s">
        <v>75</v>
      </c>
      <c r="B13">
        <v>2</v>
      </c>
      <c r="C13" s="6">
        <v>5</v>
      </c>
      <c r="D13" s="2" t="s">
        <v>48</v>
      </c>
      <c r="E13" s="1" t="s">
        <v>51</v>
      </c>
      <c r="F13">
        <v>106</v>
      </c>
      <c r="G13">
        <v>89</v>
      </c>
      <c r="H13">
        <v>80</v>
      </c>
      <c r="I13">
        <v>16</v>
      </c>
      <c r="J13">
        <v>5.6</v>
      </c>
      <c r="K13" s="10">
        <f t="shared" si="0"/>
        <v>318</v>
      </c>
      <c r="L13" s="10">
        <f t="shared" si="1"/>
        <v>0</v>
      </c>
      <c r="M13" s="10">
        <f t="shared" si="2"/>
        <v>500</v>
      </c>
      <c r="N13" s="10">
        <f t="shared" si="3"/>
        <v>486.66666666666669</v>
      </c>
      <c r="O13" s="10">
        <f t="shared" si="4"/>
        <v>1304.6666666666667</v>
      </c>
    </row>
    <row r="14" spans="1:19" x14ac:dyDescent="0.2">
      <c r="A14" t="s">
        <v>76</v>
      </c>
      <c r="B14">
        <v>2</v>
      </c>
      <c r="C14" s="6">
        <v>6</v>
      </c>
      <c r="D14" s="2" t="s">
        <v>48</v>
      </c>
      <c r="E14" s="1" t="s">
        <v>52</v>
      </c>
      <c r="F14">
        <v>137</v>
      </c>
      <c r="G14">
        <v>100</v>
      </c>
      <c r="H14">
        <v>98</v>
      </c>
      <c r="I14">
        <v>19.600000000000001</v>
      </c>
      <c r="J14">
        <v>5.0999999999999996</v>
      </c>
      <c r="K14" s="10">
        <f t="shared" si="0"/>
        <v>411</v>
      </c>
      <c r="L14" s="10">
        <f t="shared" si="1"/>
        <v>0</v>
      </c>
      <c r="M14" s="10">
        <f t="shared" si="2"/>
        <v>500</v>
      </c>
      <c r="N14" s="10">
        <f t="shared" si="3"/>
        <v>536.00000000000011</v>
      </c>
      <c r="O14" s="10">
        <f t="shared" si="4"/>
        <v>1447</v>
      </c>
      <c r="R14">
        <v>15</v>
      </c>
      <c r="S14" t="s">
        <v>27</v>
      </c>
    </row>
    <row r="15" spans="1:19" x14ac:dyDescent="0.2">
      <c r="A15" t="s">
        <v>77</v>
      </c>
      <c r="B15">
        <v>2</v>
      </c>
      <c r="C15" s="6">
        <v>7</v>
      </c>
      <c r="D15" s="2" t="s">
        <v>48</v>
      </c>
      <c r="E15" s="9" t="s">
        <v>53</v>
      </c>
      <c r="F15">
        <v>205</v>
      </c>
      <c r="G15">
        <v>138</v>
      </c>
      <c r="H15">
        <v>151</v>
      </c>
      <c r="I15">
        <v>30.2</v>
      </c>
      <c r="J15">
        <v>4.5999999999999996</v>
      </c>
      <c r="K15" s="10">
        <f t="shared" si="0"/>
        <v>615</v>
      </c>
      <c r="L15" s="10">
        <f t="shared" si="1"/>
        <v>0</v>
      </c>
      <c r="M15" s="10">
        <f t="shared" si="2"/>
        <v>500</v>
      </c>
      <c r="N15" s="10">
        <f t="shared" si="3"/>
        <v>718.66666666666663</v>
      </c>
      <c r="O15" s="10">
        <f t="shared" si="4"/>
        <v>1833.6666666666665</v>
      </c>
    </row>
    <row r="16" spans="1:19" x14ac:dyDescent="0.2">
      <c r="A16" t="s">
        <v>78</v>
      </c>
      <c r="B16">
        <v>2</v>
      </c>
      <c r="C16" s="6">
        <v>8</v>
      </c>
      <c r="D16" s="2" t="s">
        <v>48</v>
      </c>
      <c r="E16" s="1" t="s">
        <v>56</v>
      </c>
      <c r="F16">
        <v>426</v>
      </c>
      <c r="G16">
        <v>429</v>
      </c>
      <c r="H16">
        <v>359</v>
      </c>
      <c r="I16">
        <v>71.8</v>
      </c>
      <c r="J16">
        <v>6</v>
      </c>
      <c r="K16" s="10">
        <f t="shared" si="0"/>
        <v>1278</v>
      </c>
      <c r="L16" s="10">
        <f t="shared" si="1"/>
        <v>250</v>
      </c>
      <c r="M16" s="10">
        <f t="shared" si="2"/>
        <v>500</v>
      </c>
      <c r="N16" s="10">
        <f t="shared" si="3"/>
        <v>2381.3333333333335</v>
      </c>
      <c r="O16" s="10">
        <f t="shared" si="4"/>
        <v>4409.3333333333339</v>
      </c>
    </row>
    <row r="17" spans="1:20" x14ac:dyDescent="0.2">
      <c r="A17" t="s">
        <v>79</v>
      </c>
      <c r="B17">
        <v>2</v>
      </c>
      <c r="C17" s="6">
        <v>9</v>
      </c>
      <c r="D17" s="2" t="s">
        <v>48</v>
      </c>
      <c r="E17" s="1" t="s">
        <v>55</v>
      </c>
      <c r="F17">
        <v>89</v>
      </c>
      <c r="G17">
        <v>87</v>
      </c>
      <c r="H17">
        <v>76</v>
      </c>
      <c r="I17">
        <v>15.2</v>
      </c>
      <c r="J17">
        <v>5.7</v>
      </c>
      <c r="K17" s="10">
        <f t="shared" si="0"/>
        <v>267</v>
      </c>
      <c r="L17" s="10">
        <f t="shared" si="1"/>
        <v>0</v>
      </c>
      <c r="M17" s="10">
        <f t="shared" si="2"/>
        <v>500</v>
      </c>
      <c r="N17" s="10">
        <f t="shared" si="3"/>
        <v>478.66666666666669</v>
      </c>
      <c r="O17" s="10">
        <f t="shared" si="4"/>
        <v>1245.6666666666667</v>
      </c>
    </row>
    <row r="18" spans="1:20" x14ac:dyDescent="0.2">
      <c r="A18" t="s">
        <v>80</v>
      </c>
      <c r="B18">
        <v>2</v>
      </c>
      <c r="C18" s="6">
        <v>10</v>
      </c>
      <c r="D18" s="2" t="s">
        <v>48</v>
      </c>
      <c r="E18" s="1" t="s">
        <v>57</v>
      </c>
      <c r="F18">
        <v>305</v>
      </c>
      <c r="G18">
        <v>218</v>
      </c>
      <c r="H18">
        <v>217</v>
      </c>
      <c r="I18">
        <v>43.4</v>
      </c>
      <c r="J18">
        <v>5</v>
      </c>
      <c r="K18" s="10">
        <f t="shared" si="0"/>
        <v>915</v>
      </c>
      <c r="L18" s="10">
        <f t="shared" si="1"/>
        <v>0</v>
      </c>
      <c r="M18" s="10">
        <f t="shared" si="2"/>
        <v>500</v>
      </c>
      <c r="N18" s="10">
        <f t="shared" si="3"/>
        <v>1164</v>
      </c>
      <c r="O18" s="10">
        <f t="shared" si="4"/>
        <v>2579</v>
      </c>
      <c r="Q18" s="13">
        <f>3*O4*1</f>
        <v>8595</v>
      </c>
      <c r="R18">
        <f>R14*H4+R14*H31</f>
        <v>4080</v>
      </c>
    </row>
    <row r="19" spans="1:20" x14ac:dyDescent="0.2">
      <c r="A19" t="s">
        <v>81</v>
      </c>
      <c r="B19">
        <v>3</v>
      </c>
      <c r="C19" s="6">
        <v>4</v>
      </c>
      <c r="D19" s="2" t="s">
        <v>49</v>
      </c>
      <c r="E19" s="1" t="s">
        <v>50</v>
      </c>
      <c r="F19">
        <v>291</v>
      </c>
      <c r="G19">
        <v>215</v>
      </c>
      <c r="H19">
        <v>77</v>
      </c>
      <c r="I19">
        <v>15.4</v>
      </c>
      <c r="J19">
        <v>14</v>
      </c>
      <c r="K19" s="10">
        <f t="shared" si="0"/>
        <v>873</v>
      </c>
      <c r="L19" s="10">
        <f t="shared" si="1"/>
        <v>0</v>
      </c>
      <c r="M19" s="10">
        <f t="shared" si="2"/>
        <v>500</v>
      </c>
      <c r="N19" s="10">
        <f t="shared" si="3"/>
        <v>1330.6666666666667</v>
      </c>
      <c r="O19" s="10">
        <f t="shared" si="4"/>
        <v>2703.666666666667</v>
      </c>
      <c r="Q19" s="14">
        <f>4*O33*1+2*O32*1</f>
        <v>11869.333333333334</v>
      </c>
      <c r="R19">
        <f>H33*R14+R14*H32+H27*R14</f>
        <v>6060</v>
      </c>
    </row>
    <row r="20" spans="1:20" x14ac:dyDescent="0.2">
      <c r="A20" t="s">
        <v>82</v>
      </c>
      <c r="B20">
        <v>3</v>
      </c>
      <c r="C20" s="6">
        <v>5</v>
      </c>
      <c r="D20" s="2" t="s">
        <v>49</v>
      </c>
      <c r="E20" s="1" t="s">
        <v>51</v>
      </c>
      <c r="F20">
        <v>121</v>
      </c>
      <c r="G20">
        <v>113</v>
      </c>
      <c r="H20">
        <v>63</v>
      </c>
      <c r="I20">
        <v>12.6</v>
      </c>
      <c r="J20">
        <v>9</v>
      </c>
      <c r="K20" s="10">
        <f t="shared" si="0"/>
        <v>363</v>
      </c>
      <c r="L20" s="10">
        <f t="shared" si="1"/>
        <v>0</v>
      </c>
      <c r="M20" s="10">
        <f t="shared" si="2"/>
        <v>500</v>
      </c>
      <c r="N20" s="10">
        <f t="shared" si="3"/>
        <v>669.33333333333337</v>
      </c>
      <c r="O20" s="10">
        <f t="shared" si="4"/>
        <v>1532.3333333333335</v>
      </c>
      <c r="Q20" s="13">
        <f>4*O4*0.75+4*O4*0.75</f>
        <v>17190</v>
      </c>
      <c r="R20" s="13">
        <f>H4*R14+R14*H4+R14*H27</f>
        <v>6825</v>
      </c>
    </row>
    <row r="21" spans="1:20" x14ac:dyDescent="0.2">
      <c r="A21" t="s">
        <v>83</v>
      </c>
      <c r="B21">
        <v>3</v>
      </c>
      <c r="C21" s="6">
        <v>6</v>
      </c>
      <c r="D21" s="2" t="s">
        <v>49</v>
      </c>
      <c r="E21" s="1" t="s">
        <v>52</v>
      </c>
      <c r="F21">
        <v>269</v>
      </c>
      <c r="G21">
        <v>192</v>
      </c>
      <c r="H21">
        <v>126</v>
      </c>
      <c r="I21">
        <v>25.2</v>
      </c>
      <c r="J21">
        <v>7.6</v>
      </c>
      <c r="K21" s="10">
        <f t="shared" si="0"/>
        <v>807</v>
      </c>
      <c r="L21" s="10">
        <f t="shared" si="1"/>
        <v>0</v>
      </c>
      <c r="M21" s="10">
        <f t="shared" si="2"/>
        <v>500</v>
      </c>
      <c r="N21" s="10">
        <f t="shared" si="3"/>
        <v>1112.0000000000002</v>
      </c>
      <c r="O21" s="10">
        <f t="shared" si="4"/>
        <v>2419</v>
      </c>
      <c r="Q21" s="14">
        <f>4*O4*0.75+4*O4*0.75+4*O4*0.75</f>
        <v>25785</v>
      </c>
      <c r="R21">
        <f>H19*R14+R14*H4+H4*R14+R14*H3+H26*R14</f>
        <v>8280</v>
      </c>
    </row>
    <row r="22" spans="1:20" x14ac:dyDescent="0.2">
      <c r="A22" t="s">
        <v>84</v>
      </c>
      <c r="B22">
        <v>3</v>
      </c>
      <c r="C22" s="6">
        <v>7</v>
      </c>
      <c r="D22" s="2" t="s">
        <v>49</v>
      </c>
      <c r="E22" s="9" t="s">
        <v>53</v>
      </c>
      <c r="F22">
        <v>359</v>
      </c>
      <c r="G22">
        <v>250</v>
      </c>
      <c r="H22">
        <v>167</v>
      </c>
      <c r="I22">
        <v>33.4</v>
      </c>
      <c r="J22">
        <v>7.5</v>
      </c>
      <c r="K22" s="10">
        <f t="shared" si="0"/>
        <v>1077</v>
      </c>
      <c r="L22" s="10">
        <f t="shared" si="1"/>
        <v>0</v>
      </c>
      <c r="M22" s="10">
        <f t="shared" si="2"/>
        <v>500</v>
      </c>
      <c r="N22" s="10">
        <f t="shared" si="3"/>
        <v>1444</v>
      </c>
      <c r="O22" s="10">
        <f t="shared" si="4"/>
        <v>3021</v>
      </c>
      <c r="Q22" s="14">
        <f>2*O32*0.75</f>
        <v>2448</v>
      </c>
      <c r="R22">
        <f>R14*H32+R14*H3+R14*H4</f>
        <v>4575</v>
      </c>
    </row>
    <row r="23" spans="1:20" x14ac:dyDescent="0.2">
      <c r="A23" t="s">
        <v>85</v>
      </c>
      <c r="B23">
        <v>3</v>
      </c>
      <c r="C23" s="6">
        <v>8</v>
      </c>
      <c r="D23" s="2" t="s">
        <v>49</v>
      </c>
      <c r="E23" s="1" t="s">
        <v>56</v>
      </c>
      <c r="F23">
        <v>259</v>
      </c>
      <c r="G23">
        <v>324</v>
      </c>
      <c r="H23">
        <v>230</v>
      </c>
      <c r="I23">
        <v>46</v>
      </c>
      <c r="J23">
        <v>7</v>
      </c>
      <c r="K23" s="10">
        <f t="shared" si="0"/>
        <v>777</v>
      </c>
      <c r="L23" s="10">
        <f t="shared" si="1"/>
        <v>250</v>
      </c>
      <c r="M23" s="10">
        <f t="shared" si="2"/>
        <v>500</v>
      </c>
      <c r="N23" s="10">
        <f t="shared" si="3"/>
        <v>1853.3333333333335</v>
      </c>
      <c r="O23" s="10">
        <f t="shared" si="4"/>
        <v>3380.3333333333335</v>
      </c>
      <c r="Q23" s="14">
        <f>3*O4*0.75+3*O4*1</f>
        <v>15041.25</v>
      </c>
      <c r="R23">
        <f>R14*H4+R14*H4+R14*H13</f>
        <v>5610</v>
      </c>
    </row>
    <row r="24" spans="1:20" x14ac:dyDescent="0.2">
      <c r="A24" t="s">
        <v>86</v>
      </c>
      <c r="B24">
        <v>3</v>
      </c>
      <c r="C24" s="6">
        <v>9</v>
      </c>
      <c r="D24" s="2" t="s">
        <v>49</v>
      </c>
      <c r="E24" s="1" t="s">
        <v>55</v>
      </c>
      <c r="F24">
        <v>270</v>
      </c>
      <c r="G24">
        <v>217</v>
      </c>
      <c r="H24">
        <v>138</v>
      </c>
      <c r="I24">
        <v>27.6</v>
      </c>
      <c r="J24">
        <v>7.9</v>
      </c>
      <c r="K24" s="10">
        <f t="shared" si="0"/>
        <v>810</v>
      </c>
      <c r="L24" s="10">
        <f t="shared" si="1"/>
        <v>0</v>
      </c>
      <c r="M24" s="10">
        <f t="shared" si="2"/>
        <v>500</v>
      </c>
      <c r="N24" s="10">
        <f t="shared" si="3"/>
        <v>1262.6666666666667</v>
      </c>
      <c r="O24" s="10">
        <f t="shared" si="4"/>
        <v>2572.666666666667</v>
      </c>
      <c r="Q24" s="13"/>
    </row>
    <row r="25" spans="1:20" x14ac:dyDescent="0.2">
      <c r="A25" t="s">
        <v>87</v>
      </c>
      <c r="B25">
        <v>3</v>
      </c>
      <c r="C25" s="6">
        <v>10</v>
      </c>
      <c r="D25" s="2" t="s">
        <v>49</v>
      </c>
      <c r="E25" s="1" t="s">
        <v>57</v>
      </c>
      <c r="F25">
        <v>131</v>
      </c>
      <c r="G25">
        <v>108</v>
      </c>
      <c r="H25">
        <v>92</v>
      </c>
      <c r="I25">
        <v>18.399999999999999</v>
      </c>
      <c r="J25">
        <v>5.9</v>
      </c>
      <c r="K25" s="10">
        <f t="shared" si="0"/>
        <v>393</v>
      </c>
      <c r="L25" s="10">
        <f t="shared" si="1"/>
        <v>0</v>
      </c>
      <c r="M25" s="10">
        <f t="shared" si="2"/>
        <v>500</v>
      </c>
      <c r="N25" s="10">
        <f t="shared" si="3"/>
        <v>597.33333333333337</v>
      </c>
      <c r="O25" s="10">
        <f t="shared" si="4"/>
        <v>1490.3333333333335</v>
      </c>
      <c r="Q25" s="13"/>
    </row>
    <row r="26" spans="1:20" x14ac:dyDescent="0.2">
      <c r="A26" t="s">
        <v>88</v>
      </c>
      <c r="B26">
        <v>4</v>
      </c>
      <c r="C26" s="6">
        <v>5</v>
      </c>
      <c r="D26" s="1" t="s">
        <v>50</v>
      </c>
      <c r="E26" s="1" t="s">
        <v>51</v>
      </c>
      <c r="F26">
        <v>187</v>
      </c>
      <c r="G26">
        <v>130</v>
      </c>
      <c r="H26">
        <v>93</v>
      </c>
      <c r="I26">
        <v>18.600000000000001</v>
      </c>
      <c r="J26">
        <v>7</v>
      </c>
      <c r="K26" s="10">
        <f t="shared" si="0"/>
        <v>561</v>
      </c>
      <c r="L26" s="10">
        <f t="shared" si="1"/>
        <v>0</v>
      </c>
      <c r="M26" s="10">
        <f t="shared" si="2"/>
        <v>500</v>
      </c>
      <c r="N26" s="10">
        <f t="shared" si="3"/>
        <v>742.66666666666674</v>
      </c>
      <c r="O26" s="10">
        <f t="shared" si="4"/>
        <v>1803.6666666666667</v>
      </c>
      <c r="Q26" s="13"/>
    </row>
    <row r="27" spans="1:20" x14ac:dyDescent="0.2">
      <c r="A27" t="s">
        <v>89</v>
      </c>
      <c r="B27">
        <v>4</v>
      </c>
      <c r="C27" s="6">
        <v>6</v>
      </c>
      <c r="D27" s="1" t="s">
        <v>50</v>
      </c>
      <c r="E27" s="1" t="s">
        <v>52</v>
      </c>
      <c r="F27">
        <v>233</v>
      </c>
      <c r="G27">
        <v>149</v>
      </c>
      <c r="H27">
        <v>161</v>
      </c>
      <c r="I27">
        <v>32.200000000000003</v>
      </c>
      <c r="J27">
        <v>4.5999999999999996</v>
      </c>
      <c r="K27" s="10">
        <f t="shared" si="0"/>
        <v>699</v>
      </c>
      <c r="L27" s="10">
        <f t="shared" si="1"/>
        <v>0</v>
      </c>
      <c r="M27" s="10">
        <f t="shared" si="2"/>
        <v>500</v>
      </c>
      <c r="N27" s="10">
        <f t="shared" si="3"/>
        <v>778.66666666666663</v>
      </c>
      <c r="O27" s="10">
        <f t="shared" si="4"/>
        <v>1977.6666666666665</v>
      </c>
      <c r="P27" t="s">
        <v>109</v>
      </c>
      <c r="Q27" s="13">
        <f>SUM(Q18:Q26)</f>
        <v>80928.583333333343</v>
      </c>
      <c r="R27" s="13">
        <f>-SUM(R18:R26)</f>
        <v>-35430</v>
      </c>
      <c r="S27" s="13">
        <f>Q27+R27</f>
        <v>45498.583333333343</v>
      </c>
      <c r="T27">
        <f>-SUM(T18:T26)</f>
        <v>0</v>
      </c>
    </row>
    <row r="28" spans="1:20" x14ac:dyDescent="0.2">
      <c r="A28" t="s">
        <v>90</v>
      </c>
      <c r="B28">
        <v>4</v>
      </c>
      <c r="C28" s="6">
        <v>7</v>
      </c>
      <c r="D28" s="1" t="s">
        <v>50</v>
      </c>
      <c r="E28" s="9" t="s">
        <v>53</v>
      </c>
      <c r="F28">
        <v>126</v>
      </c>
      <c r="G28">
        <v>93</v>
      </c>
      <c r="H28">
        <v>90</v>
      </c>
      <c r="I28">
        <v>18</v>
      </c>
      <c r="J28">
        <v>5.2</v>
      </c>
      <c r="K28" s="10">
        <f t="shared" si="0"/>
        <v>378</v>
      </c>
      <c r="L28" s="10">
        <f t="shared" si="1"/>
        <v>0</v>
      </c>
      <c r="M28" s="10">
        <f t="shared" si="2"/>
        <v>500</v>
      </c>
      <c r="N28" s="10">
        <f t="shared" si="3"/>
        <v>500</v>
      </c>
      <c r="O28" s="10">
        <f t="shared" si="4"/>
        <v>1378</v>
      </c>
    </row>
    <row r="29" spans="1:20" x14ac:dyDescent="0.2">
      <c r="A29" t="s">
        <v>91</v>
      </c>
      <c r="B29">
        <v>4</v>
      </c>
      <c r="C29" s="6">
        <v>8</v>
      </c>
      <c r="D29" s="1" t="s">
        <v>50</v>
      </c>
      <c r="E29" s="1" t="s">
        <v>56</v>
      </c>
      <c r="F29">
        <v>507</v>
      </c>
      <c r="G29">
        <v>470</v>
      </c>
      <c r="H29">
        <v>290</v>
      </c>
      <c r="I29">
        <v>58</v>
      </c>
      <c r="J29">
        <v>8.1</v>
      </c>
      <c r="K29" s="10">
        <f t="shared" si="0"/>
        <v>1521</v>
      </c>
      <c r="L29" s="10">
        <f t="shared" si="1"/>
        <v>250</v>
      </c>
      <c r="M29" s="10">
        <f t="shared" si="2"/>
        <v>500</v>
      </c>
      <c r="N29" s="10">
        <f t="shared" si="3"/>
        <v>2746.666666666667</v>
      </c>
      <c r="O29" s="10">
        <f t="shared" si="4"/>
        <v>5017.666666666667</v>
      </c>
    </row>
    <row r="30" spans="1:20" x14ac:dyDescent="0.2">
      <c r="A30" t="s">
        <v>92</v>
      </c>
      <c r="B30">
        <v>4</v>
      </c>
      <c r="C30" s="6">
        <v>9</v>
      </c>
      <c r="D30" s="1" t="s">
        <v>50</v>
      </c>
      <c r="E30" s="1" t="s">
        <v>55</v>
      </c>
      <c r="F30">
        <v>99</v>
      </c>
      <c r="G30">
        <v>87</v>
      </c>
      <c r="H30">
        <v>75</v>
      </c>
      <c r="I30">
        <v>15</v>
      </c>
      <c r="J30">
        <v>5.8</v>
      </c>
      <c r="K30" s="10">
        <f t="shared" si="0"/>
        <v>297</v>
      </c>
      <c r="L30" s="10">
        <f t="shared" si="1"/>
        <v>0</v>
      </c>
      <c r="M30" s="10">
        <f t="shared" si="2"/>
        <v>500</v>
      </c>
      <c r="N30" s="10">
        <f t="shared" si="3"/>
        <v>480</v>
      </c>
      <c r="O30" s="10">
        <f t="shared" si="4"/>
        <v>1277</v>
      </c>
    </row>
    <row r="31" spans="1:20" x14ac:dyDescent="0.2">
      <c r="A31" t="s">
        <v>93</v>
      </c>
      <c r="B31">
        <v>4</v>
      </c>
      <c r="C31" s="6">
        <v>10</v>
      </c>
      <c r="D31" s="1" t="s">
        <v>50</v>
      </c>
      <c r="E31" s="1" t="s">
        <v>57</v>
      </c>
      <c r="F31">
        <v>387</v>
      </c>
      <c r="G31">
        <v>259</v>
      </c>
      <c r="H31">
        <v>125</v>
      </c>
      <c r="I31">
        <v>25</v>
      </c>
      <c r="J31">
        <v>10.4</v>
      </c>
      <c r="K31" s="10">
        <f t="shared" si="0"/>
        <v>1161</v>
      </c>
      <c r="L31" s="10">
        <f t="shared" si="1"/>
        <v>0</v>
      </c>
      <c r="M31" s="10">
        <f t="shared" si="2"/>
        <v>500</v>
      </c>
      <c r="N31" s="10">
        <f t="shared" si="3"/>
        <v>1560</v>
      </c>
      <c r="O31" s="10">
        <f t="shared" si="4"/>
        <v>3221</v>
      </c>
      <c r="S31" s="14"/>
    </row>
    <row r="32" spans="1:20" x14ac:dyDescent="0.2">
      <c r="A32" t="s">
        <v>94</v>
      </c>
      <c r="B32">
        <v>5</v>
      </c>
      <c r="C32" s="6">
        <v>6</v>
      </c>
      <c r="D32" s="1" t="s">
        <v>51</v>
      </c>
      <c r="E32" s="1" t="s">
        <v>52</v>
      </c>
      <c r="F32">
        <v>164</v>
      </c>
      <c r="G32">
        <v>110</v>
      </c>
      <c r="H32">
        <v>70</v>
      </c>
      <c r="I32">
        <v>14</v>
      </c>
      <c r="J32">
        <v>7.9</v>
      </c>
      <c r="K32" s="10">
        <f t="shared" si="0"/>
        <v>492</v>
      </c>
      <c r="L32" s="10">
        <f t="shared" si="1"/>
        <v>0</v>
      </c>
      <c r="M32" s="10">
        <f t="shared" si="2"/>
        <v>500</v>
      </c>
      <c r="N32" s="10">
        <f t="shared" si="3"/>
        <v>640</v>
      </c>
      <c r="O32" s="10">
        <f t="shared" si="4"/>
        <v>1632</v>
      </c>
    </row>
    <row r="33" spans="1:15" x14ac:dyDescent="0.2">
      <c r="A33" t="s">
        <v>95</v>
      </c>
      <c r="B33" s="8">
        <v>5</v>
      </c>
      <c r="C33" s="6">
        <v>7</v>
      </c>
      <c r="D33" s="1" t="s">
        <v>51</v>
      </c>
      <c r="E33" s="9" t="s">
        <v>53</v>
      </c>
      <c r="F33">
        <v>254</v>
      </c>
      <c r="G33">
        <v>168</v>
      </c>
      <c r="H33">
        <v>173</v>
      </c>
      <c r="I33">
        <v>34.6</v>
      </c>
      <c r="J33">
        <v>4.9000000000000004</v>
      </c>
      <c r="K33" s="10">
        <f t="shared" si="0"/>
        <v>762</v>
      </c>
      <c r="L33" s="10">
        <f t="shared" si="1"/>
        <v>0</v>
      </c>
      <c r="M33" s="10">
        <f t="shared" si="2"/>
        <v>500</v>
      </c>
      <c r="N33" s="10">
        <f t="shared" si="3"/>
        <v>889.33333333333337</v>
      </c>
      <c r="O33" s="10">
        <f t="shared" si="4"/>
        <v>2151.3333333333335</v>
      </c>
    </row>
    <row r="34" spans="1:15" x14ac:dyDescent="0.2">
      <c r="A34" t="s">
        <v>96</v>
      </c>
      <c r="B34">
        <v>5</v>
      </c>
      <c r="C34" s="6">
        <v>8</v>
      </c>
      <c r="D34" s="1" t="s">
        <v>51</v>
      </c>
      <c r="E34" s="1" t="s">
        <v>56</v>
      </c>
      <c r="F34">
        <v>337</v>
      </c>
      <c r="G34">
        <v>369</v>
      </c>
      <c r="H34">
        <v>281</v>
      </c>
      <c r="I34">
        <v>56.2</v>
      </c>
      <c r="J34">
        <v>6.6</v>
      </c>
      <c r="K34" s="10">
        <f t="shared" si="0"/>
        <v>1011</v>
      </c>
      <c r="L34" s="10">
        <f t="shared" si="1"/>
        <v>250</v>
      </c>
      <c r="M34" s="10">
        <f t="shared" si="2"/>
        <v>500</v>
      </c>
      <c r="N34" s="10">
        <f t="shared" si="3"/>
        <v>2085.3333333333335</v>
      </c>
      <c r="O34" s="10">
        <f t="shared" si="4"/>
        <v>3846.3333333333335</v>
      </c>
    </row>
    <row r="35" spans="1:15" x14ac:dyDescent="0.2">
      <c r="A35" t="s">
        <v>97</v>
      </c>
      <c r="B35">
        <v>5</v>
      </c>
      <c r="C35" s="6">
        <v>9</v>
      </c>
      <c r="D35" s="1" t="s">
        <v>51</v>
      </c>
      <c r="E35" s="1" t="s">
        <v>55</v>
      </c>
      <c r="F35">
        <v>165</v>
      </c>
      <c r="G35">
        <v>136</v>
      </c>
      <c r="H35">
        <v>118</v>
      </c>
      <c r="I35">
        <v>23.6</v>
      </c>
      <c r="J35">
        <v>5.8</v>
      </c>
      <c r="K35" s="10">
        <f t="shared" si="0"/>
        <v>495</v>
      </c>
      <c r="L35" s="10">
        <f t="shared" si="1"/>
        <v>0</v>
      </c>
      <c r="M35" s="10">
        <f t="shared" si="2"/>
        <v>500</v>
      </c>
      <c r="N35" s="10">
        <f t="shared" si="3"/>
        <v>749.33333333333337</v>
      </c>
      <c r="O35" s="10">
        <f t="shared" si="4"/>
        <v>1744.3333333333335</v>
      </c>
    </row>
    <row r="36" spans="1:15" x14ac:dyDescent="0.2">
      <c r="A36" t="s">
        <v>98</v>
      </c>
      <c r="B36">
        <v>5</v>
      </c>
      <c r="C36" s="6">
        <v>10</v>
      </c>
      <c r="D36" s="1" t="s">
        <v>51</v>
      </c>
      <c r="E36" s="1" t="s">
        <v>57</v>
      </c>
      <c r="F36">
        <v>216</v>
      </c>
      <c r="G36">
        <v>158</v>
      </c>
      <c r="H36">
        <v>155</v>
      </c>
      <c r="I36">
        <v>31</v>
      </c>
      <c r="J36">
        <v>5.0999999999999996</v>
      </c>
      <c r="K36" s="10">
        <f t="shared" si="0"/>
        <v>648</v>
      </c>
      <c r="L36" s="10">
        <f t="shared" si="1"/>
        <v>0</v>
      </c>
      <c r="M36" s="10">
        <f t="shared" si="2"/>
        <v>500</v>
      </c>
      <c r="N36" s="10">
        <f t="shared" si="3"/>
        <v>846.66666666666674</v>
      </c>
      <c r="O36" s="10">
        <f t="shared" si="4"/>
        <v>1994.6666666666667</v>
      </c>
    </row>
    <row r="37" spans="1:15" x14ac:dyDescent="0.2">
      <c r="A37" t="s">
        <v>99</v>
      </c>
      <c r="B37">
        <v>6</v>
      </c>
      <c r="C37" s="6">
        <v>7</v>
      </c>
      <c r="D37" s="1" t="s">
        <v>52</v>
      </c>
      <c r="E37" s="9" t="s">
        <v>53</v>
      </c>
      <c r="F37">
        <v>299</v>
      </c>
      <c r="G37">
        <v>185</v>
      </c>
      <c r="H37">
        <v>232</v>
      </c>
      <c r="I37">
        <v>46.4</v>
      </c>
      <c r="J37">
        <v>4</v>
      </c>
      <c r="K37" s="10">
        <f t="shared" si="0"/>
        <v>897</v>
      </c>
      <c r="L37" s="10">
        <f t="shared" si="1"/>
        <v>0</v>
      </c>
      <c r="M37" s="10">
        <f t="shared" si="2"/>
        <v>500</v>
      </c>
      <c r="N37" s="10">
        <f t="shared" si="3"/>
        <v>924</v>
      </c>
      <c r="O37" s="10">
        <f t="shared" si="4"/>
        <v>2321</v>
      </c>
    </row>
    <row r="38" spans="1:15" x14ac:dyDescent="0.2">
      <c r="A38" t="s">
        <v>100</v>
      </c>
      <c r="B38">
        <v>6</v>
      </c>
      <c r="C38" s="6">
        <v>8</v>
      </c>
      <c r="D38" s="1" t="s">
        <v>52</v>
      </c>
      <c r="E38" s="1" t="s">
        <v>56</v>
      </c>
      <c r="F38">
        <v>484</v>
      </c>
      <c r="G38">
        <v>448</v>
      </c>
      <c r="H38">
        <v>315</v>
      </c>
      <c r="I38">
        <v>63</v>
      </c>
      <c r="J38">
        <v>7.1</v>
      </c>
      <c r="K38" s="10">
        <f t="shared" si="0"/>
        <v>1452</v>
      </c>
      <c r="L38" s="10">
        <f t="shared" si="1"/>
        <v>250</v>
      </c>
      <c r="M38" s="10">
        <f t="shared" si="2"/>
        <v>500</v>
      </c>
      <c r="N38" s="10">
        <f t="shared" si="3"/>
        <v>2566.666666666667</v>
      </c>
      <c r="O38" s="10">
        <f t="shared" si="4"/>
        <v>4768.666666666667</v>
      </c>
    </row>
    <row r="39" spans="1:15" x14ac:dyDescent="0.2">
      <c r="A39" t="s">
        <v>101</v>
      </c>
      <c r="B39">
        <v>6</v>
      </c>
      <c r="C39" s="6">
        <v>9</v>
      </c>
      <c r="D39" s="1" t="s">
        <v>52</v>
      </c>
      <c r="E39" s="1" t="s">
        <v>55</v>
      </c>
      <c r="F39">
        <v>210</v>
      </c>
      <c r="G39">
        <v>153</v>
      </c>
      <c r="H39">
        <v>166</v>
      </c>
      <c r="I39">
        <v>33.200000000000003</v>
      </c>
      <c r="J39">
        <v>4.5999999999999996</v>
      </c>
      <c r="K39" s="10">
        <f t="shared" si="0"/>
        <v>630</v>
      </c>
      <c r="L39" s="10">
        <f t="shared" si="1"/>
        <v>0</v>
      </c>
      <c r="M39" s="10">
        <f t="shared" si="2"/>
        <v>500</v>
      </c>
      <c r="N39" s="10">
        <f t="shared" si="3"/>
        <v>798.66666666666663</v>
      </c>
      <c r="O39" s="10">
        <f t="shared" si="4"/>
        <v>1928.6666666666665</v>
      </c>
    </row>
    <row r="40" spans="1:15" x14ac:dyDescent="0.2">
      <c r="A40" t="s">
        <v>102</v>
      </c>
      <c r="B40">
        <v>6</v>
      </c>
      <c r="C40" s="6">
        <v>10</v>
      </c>
      <c r="D40" s="1" t="s">
        <v>52</v>
      </c>
      <c r="E40" s="1" t="s">
        <v>57</v>
      </c>
      <c r="F40">
        <v>363</v>
      </c>
      <c r="G40">
        <v>237</v>
      </c>
      <c r="H40">
        <v>216</v>
      </c>
      <c r="I40">
        <v>43.2</v>
      </c>
      <c r="J40">
        <v>5.5</v>
      </c>
      <c r="K40" s="10">
        <f t="shared" si="0"/>
        <v>1089</v>
      </c>
      <c r="L40" s="10">
        <f t="shared" si="1"/>
        <v>0</v>
      </c>
      <c r="M40" s="10">
        <f t="shared" si="2"/>
        <v>500</v>
      </c>
      <c r="N40" s="10">
        <f t="shared" si="3"/>
        <v>1292.0000000000002</v>
      </c>
      <c r="O40" s="10">
        <f t="shared" si="4"/>
        <v>2881</v>
      </c>
    </row>
    <row r="41" spans="1:15" x14ac:dyDescent="0.2">
      <c r="A41" t="s">
        <v>103</v>
      </c>
      <c r="B41">
        <v>7</v>
      </c>
      <c r="C41" s="6">
        <v>8</v>
      </c>
      <c r="D41" s="1" t="s">
        <v>53</v>
      </c>
      <c r="E41" s="1" t="s">
        <v>56</v>
      </c>
      <c r="F41">
        <v>575</v>
      </c>
      <c r="G41">
        <v>504</v>
      </c>
      <c r="H41">
        <v>365</v>
      </c>
      <c r="I41">
        <v>73</v>
      </c>
      <c r="J41">
        <v>6.9</v>
      </c>
      <c r="K41" s="10">
        <f t="shared" si="0"/>
        <v>1725</v>
      </c>
      <c r="L41" s="10">
        <f t="shared" si="1"/>
        <v>250</v>
      </c>
      <c r="M41" s="10">
        <f t="shared" si="2"/>
        <v>500</v>
      </c>
      <c r="N41" s="10">
        <f t="shared" si="3"/>
        <v>2873.3333333333335</v>
      </c>
      <c r="O41" s="10">
        <f t="shared" si="4"/>
        <v>5348.3333333333339</v>
      </c>
    </row>
    <row r="42" spans="1:15" x14ac:dyDescent="0.2">
      <c r="A42" t="s">
        <v>104</v>
      </c>
      <c r="B42">
        <v>7</v>
      </c>
      <c r="C42" s="6">
        <v>9</v>
      </c>
      <c r="D42" s="1" t="s">
        <v>53</v>
      </c>
      <c r="E42" s="1" t="s">
        <v>55</v>
      </c>
      <c r="F42">
        <v>84</v>
      </c>
      <c r="G42">
        <v>70</v>
      </c>
      <c r="H42">
        <v>75</v>
      </c>
      <c r="I42">
        <v>15</v>
      </c>
      <c r="J42">
        <v>4.7</v>
      </c>
      <c r="K42" s="10">
        <f t="shared" si="0"/>
        <v>252</v>
      </c>
      <c r="L42" s="10">
        <f t="shared" si="1"/>
        <v>0</v>
      </c>
      <c r="M42" s="10">
        <f t="shared" si="2"/>
        <v>500</v>
      </c>
      <c r="N42" s="10">
        <f t="shared" si="3"/>
        <v>366.66666666666669</v>
      </c>
      <c r="O42" s="10">
        <f t="shared" si="4"/>
        <v>1118.6666666666667</v>
      </c>
    </row>
    <row r="43" spans="1:15" x14ac:dyDescent="0.2">
      <c r="A43" t="s">
        <v>105</v>
      </c>
      <c r="B43">
        <v>7</v>
      </c>
      <c r="C43" s="6">
        <v>10</v>
      </c>
      <c r="D43" s="1" t="s">
        <v>53</v>
      </c>
      <c r="E43" s="1" t="s">
        <v>57</v>
      </c>
      <c r="F43">
        <v>454</v>
      </c>
      <c r="G43">
        <v>293</v>
      </c>
      <c r="H43">
        <v>194</v>
      </c>
      <c r="I43">
        <v>38.799999999999997</v>
      </c>
      <c r="J43">
        <v>7.6</v>
      </c>
      <c r="K43" s="10">
        <f t="shared" si="0"/>
        <v>1362</v>
      </c>
      <c r="L43" s="10">
        <f t="shared" si="1"/>
        <v>0</v>
      </c>
      <c r="M43" s="10">
        <f t="shared" si="2"/>
        <v>500</v>
      </c>
      <c r="N43" s="10">
        <f t="shared" si="3"/>
        <v>1694.6666666666667</v>
      </c>
      <c r="O43" s="10">
        <f t="shared" si="4"/>
        <v>3556.666666666667</v>
      </c>
    </row>
    <row r="44" spans="1:15" x14ac:dyDescent="0.2">
      <c r="A44" t="s">
        <v>106</v>
      </c>
      <c r="B44">
        <v>8</v>
      </c>
      <c r="C44" s="6">
        <v>9</v>
      </c>
      <c r="D44" s="1" t="s">
        <v>56</v>
      </c>
      <c r="E44" s="1" t="s">
        <v>55</v>
      </c>
      <c r="F44">
        <v>486</v>
      </c>
      <c r="G44">
        <v>474</v>
      </c>
      <c r="H44">
        <v>363</v>
      </c>
      <c r="I44">
        <v>72.599999999999994</v>
      </c>
      <c r="J44">
        <v>6.5</v>
      </c>
      <c r="K44" s="10">
        <f t="shared" si="0"/>
        <v>1458</v>
      </c>
      <c r="L44" s="10">
        <f t="shared" si="1"/>
        <v>250</v>
      </c>
      <c r="M44" s="10">
        <f t="shared" si="2"/>
        <v>500</v>
      </c>
      <c r="N44" s="10">
        <f t="shared" si="3"/>
        <v>2676</v>
      </c>
      <c r="O44" s="10">
        <f t="shared" si="4"/>
        <v>4884</v>
      </c>
    </row>
    <row r="45" spans="1:15" x14ac:dyDescent="0.2">
      <c r="A45" t="s">
        <v>107</v>
      </c>
      <c r="B45">
        <v>8</v>
      </c>
      <c r="C45" s="6">
        <v>10</v>
      </c>
      <c r="D45" s="1" t="s">
        <v>56</v>
      </c>
      <c r="E45" s="1" t="s">
        <v>57</v>
      </c>
      <c r="F45">
        <v>230</v>
      </c>
      <c r="G45">
        <v>299</v>
      </c>
      <c r="H45">
        <v>172</v>
      </c>
      <c r="I45">
        <v>34.4</v>
      </c>
      <c r="J45">
        <v>8.6999999999999993</v>
      </c>
      <c r="K45" s="10">
        <f t="shared" si="0"/>
        <v>690</v>
      </c>
      <c r="L45" s="10">
        <f t="shared" si="1"/>
        <v>250</v>
      </c>
      <c r="M45" s="10">
        <f t="shared" si="2"/>
        <v>500</v>
      </c>
      <c r="N45" s="10">
        <f t="shared" si="3"/>
        <v>1764.0000000000002</v>
      </c>
      <c r="O45" s="10">
        <f t="shared" si="4"/>
        <v>3204</v>
      </c>
    </row>
    <row r="46" spans="1:15" x14ac:dyDescent="0.2">
      <c r="A46" t="s">
        <v>108</v>
      </c>
      <c r="B46">
        <v>9</v>
      </c>
      <c r="C46" s="6">
        <v>10</v>
      </c>
      <c r="D46" s="1" t="s">
        <v>55</v>
      </c>
      <c r="E46" s="1" t="s">
        <v>57</v>
      </c>
      <c r="F46">
        <v>366</v>
      </c>
      <c r="G46">
        <v>264</v>
      </c>
      <c r="H46">
        <v>200</v>
      </c>
      <c r="I46">
        <v>40</v>
      </c>
      <c r="J46">
        <v>6.6</v>
      </c>
      <c r="K46" s="10">
        <f t="shared" si="0"/>
        <v>1098</v>
      </c>
      <c r="L46" s="10">
        <f t="shared" si="1"/>
        <v>0</v>
      </c>
      <c r="M46" s="10">
        <f t="shared" si="2"/>
        <v>500</v>
      </c>
      <c r="N46" s="10">
        <f t="shared" si="3"/>
        <v>1493.3333333333335</v>
      </c>
      <c r="O46" s="10">
        <f t="shared" si="4"/>
        <v>3091.3333333333335</v>
      </c>
    </row>
    <row r="47" spans="1:15" x14ac:dyDescent="0.2">
      <c r="B47">
        <v>1</v>
      </c>
      <c r="C47" s="6">
        <v>1</v>
      </c>
      <c r="D47" s="6"/>
      <c r="E47" s="6"/>
      <c r="F47">
        <v>0</v>
      </c>
      <c r="G47">
        <v>0</v>
      </c>
      <c r="H47">
        <v>0</v>
      </c>
      <c r="I47">
        <v>0</v>
      </c>
      <c r="J47">
        <v>0</v>
      </c>
      <c r="O47" s="10">
        <f t="shared" si="4"/>
        <v>0</v>
      </c>
    </row>
    <row r="48" spans="1:15" x14ac:dyDescent="0.2">
      <c r="B48">
        <v>2</v>
      </c>
      <c r="C48" s="6">
        <v>2</v>
      </c>
      <c r="D48" s="6"/>
      <c r="E48" s="6"/>
      <c r="F48">
        <v>0</v>
      </c>
      <c r="G48">
        <v>0</v>
      </c>
      <c r="H48">
        <v>0</v>
      </c>
      <c r="I48">
        <v>0</v>
      </c>
      <c r="J48">
        <v>0</v>
      </c>
      <c r="O48" s="10">
        <f t="shared" si="4"/>
        <v>0</v>
      </c>
    </row>
    <row r="49" spans="2:15" x14ac:dyDescent="0.2">
      <c r="B49">
        <v>3</v>
      </c>
      <c r="C49" s="6">
        <v>3</v>
      </c>
      <c r="D49" s="6"/>
      <c r="E49" s="6"/>
      <c r="F49">
        <v>0</v>
      </c>
      <c r="G49">
        <v>0</v>
      </c>
      <c r="H49">
        <v>0</v>
      </c>
      <c r="I49">
        <v>0</v>
      </c>
      <c r="J49">
        <v>0</v>
      </c>
      <c r="O49" s="10">
        <f t="shared" si="4"/>
        <v>0</v>
      </c>
    </row>
    <row r="50" spans="2:15" x14ac:dyDescent="0.2">
      <c r="B50">
        <v>4</v>
      </c>
      <c r="C50" s="6">
        <v>4</v>
      </c>
      <c r="D50" s="6"/>
      <c r="E50" s="6"/>
      <c r="F50">
        <v>0</v>
      </c>
      <c r="G50">
        <v>0</v>
      </c>
      <c r="H50">
        <v>0</v>
      </c>
      <c r="I50">
        <v>0</v>
      </c>
      <c r="J50">
        <v>0</v>
      </c>
      <c r="O50" s="10">
        <f t="shared" si="4"/>
        <v>0</v>
      </c>
    </row>
    <row r="51" spans="2:15" x14ac:dyDescent="0.2">
      <c r="B51">
        <v>5</v>
      </c>
      <c r="C51" s="6">
        <v>5</v>
      </c>
      <c r="D51" s="6"/>
      <c r="E51" s="6"/>
      <c r="F51">
        <v>0</v>
      </c>
      <c r="G51">
        <v>0</v>
      </c>
      <c r="H51">
        <v>0</v>
      </c>
      <c r="I51">
        <v>0</v>
      </c>
      <c r="J51">
        <v>0</v>
      </c>
      <c r="O51" s="10">
        <f t="shared" si="4"/>
        <v>0</v>
      </c>
    </row>
    <row r="52" spans="2:15" x14ac:dyDescent="0.2">
      <c r="B52">
        <v>6</v>
      </c>
      <c r="C52" s="6">
        <v>6</v>
      </c>
      <c r="F52">
        <v>0</v>
      </c>
      <c r="G52">
        <v>0</v>
      </c>
      <c r="H52">
        <v>0</v>
      </c>
      <c r="I52">
        <v>0</v>
      </c>
      <c r="J52">
        <v>0</v>
      </c>
      <c r="O52" s="10">
        <f t="shared" si="4"/>
        <v>0</v>
      </c>
    </row>
    <row r="53" spans="2:15" x14ac:dyDescent="0.2">
      <c r="B53">
        <v>7</v>
      </c>
      <c r="C53" s="6">
        <v>7</v>
      </c>
      <c r="F53">
        <v>0</v>
      </c>
      <c r="G53">
        <v>0</v>
      </c>
      <c r="H53">
        <v>0</v>
      </c>
      <c r="I53">
        <v>0</v>
      </c>
      <c r="J53">
        <v>0</v>
      </c>
      <c r="O53" s="10">
        <f t="shared" si="4"/>
        <v>0</v>
      </c>
    </row>
    <row r="54" spans="2:15" x14ac:dyDescent="0.2">
      <c r="B54">
        <v>8</v>
      </c>
      <c r="C54" s="6">
        <v>8</v>
      </c>
      <c r="F54">
        <v>0</v>
      </c>
      <c r="G54">
        <v>0</v>
      </c>
      <c r="H54">
        <v>0</v>
      </c>
      <c r="I54">
        <v>0</v>
      </c>
      <c r="J54">
        <v>0</v>
      </c>
      <c r="O54" s="10">
        <f t="shared" si="4"/>
        <v>0</v>
      </c>
    </row>
    <row r="55" spans="2:15" x14ac:dyDescent="0.2">
      <c r="B55">
        <v>9</v>
      </c>
      <c r="C55" s="6">
        <v>9</v>
      </c>
      <c r="F55">
        <v>0</v>
      </c>
      <c r="G55">
        <v>0</v>
      </c>
      <c r="H55">
        <v>0</v>
      </c>
      <c r="I55">
        <v>0</v>
      </c>
      <c r="J55">
        <v>0</v>
      </c>
      <c r="O55" s="10">
        <f t="shared" si="4"/>
        <v>0</v>
      </c>
    </row>
    <row r="56" spans="2:15" x14ac:dyDescent="0.2">
      <c r="B56">
        <v>10</v>
      </c>
      <c r="C56" s="6">
        <v>10</v>
      </c>
      <c r="F56">
        <v>0</v>
      </c>
      <c r="G56">
        <v>0</v>
      </c>
      <c r="H56">
        <v>0</v>
      </c>
      <c r="I56">
        <v>0</v>
      </c>
      <c r="J56">
        <v>0</v>
      </c>
      <c r="O56" s="10">
        <f t="shared" si="4"/>
        <v>0</v>
      </c>
    </row>
  </sheetData>
  <conditionalFormatting sqref="K2:K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Anna-Sofie Børresen</cp:lastModifiedBy>
  <dcterms:created xsi:type="dcterms:W3CDTF">2026-03-10T08:39:53Z</dcterms:created>
  <dcterms:modified xsi:type="dcterms:W3CDTF">2026-06-30T17:35:45Z</dcterms:modified>
</cp:coreProperties>
</file>
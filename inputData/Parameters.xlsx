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illewiberg/Desktop/Skole/Speciale/Master-Thesis-eVTOL-1/inputData/"/>
    </mc:Choice>
  </mc:AlternateContent>
  <xr:revisionPtr revIDLastSave="0" documentId="13_ncr:1_{0A655786-C4CA-DA4F-925A-95EFB8E73112}" xr6:coauthVersionLast="47" xr6:coauthVersionMax="47" xr10:uidLastSave="{00000000-0000-0000-0000-000000000000}"/>
  <bookViews>
    <workbookView xWindow="0" yWindow="500" windowWidth="28800" windowHeight="16320" activeTab="1" xr2:uid="{63F903F0-DEEC-1344-9131-28787FF511C5}"/>
  </bookViews>
  <sheets>
    <sheet name="Parameters" sheetId="9" r:id="rId1"/>
    <sheet name="Prices" sheetId="1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<sst xmlns="http://schemas.openxmlformats.org/spreadsheetml/2006/main" uniqueCount="61">
  <si>
    <t>cap_u</t>
  </si>
  <si>
    <t>bmax</t>
  </si>
  <si>
    <t>bmin</t>
  </si>
  <si>
    <t>ec</t>
  </si>
  <si>
    <t>te</t>
  </si>
  <si>
    <t>w</t>
  </si>
  <si>
    <t>ET</t>
  </si>
  <si>
    <t>fd_{i,j} = $3/km</t>
  </si>
  <si>
    <t>fs_{i,j}=75% of fd_{i,j}</t>
  </si>
  <si>
    <t>c_{i,j} = $1/km</t>
  </si>
  <si>
    <t>e_{i,j} = 1%/km</t>
  </si>
  <si>
    <t>seat capacity of eVTOL</t>
  </si>
  <si>
    <t>minimum turnaround time at vertiport</t>
  </si>
  <si>
    <t>maximum waiting time</t>
  </si>
  <si>
    <t>end time</t>
  </si>
  <si>
    <t>fare_stopover_factor</t>
  </si>
  <si>
    <t>p_penalty</t>
  </si>
  <si>
    <t>operating_cost_per_km</t>
  </si>
  <si>
    <t>battery_per_km</t>
  </si>
  <si>
    <t>time_per_km</t>
  </si>
  <si>
    <t>fare_direct_per_km</t>
  </si>
  <si>
    <t>Parameters</t>
  </si>
  <si>
    <t>Bil tid (min)</t>
  </si>
  <si>
    <t>Km fugleflugt</t>
  </si>
  <si>
    <t>eVTOL flyvetid (min)</t>
  </si>
  <si>
    <t>Hvor meget hurtigere</t>
  </si>
  <si>
    <t>Fd km</t>
  </si>
  <si>
    <t>Fd tid</t>
  </si>
  <si>
    <t>fd max</t>
  </si>
  <si>
    <t>Passager km pris</t>
  </si>
  <si>
    <t>kr/km</t>
  </si>
  <si>
    <t>Tidsværdi</t>
  </si>
  <si>
    <t>kr/min</t>
  </si>
  <si>
    <t>Lambda</t>
  </si>
  <si>
    <t>Base fee</t>
  </si>
  <si>
    <t>kr</t>
  </si>
  <si>
    <t>From</t>
  </si>
  <si>
    <t>To</t>
  </si>
  <si>
    <t>fd_sum</t>
  </si>
  <si>
    <t>2,1% battery charged per unit time</t>
  </si>
  <si>
    <t>rt_{i,j} = 0.2 min/km</t>
  </si>
  <si>
    <t>unit time</t>
  </si>
  <si>
    <t>b_penalty</t>
  </si>
  <si>
    <t>penalty for not serving passengergroup</t>
  </si>
  <si>
    <t>penalty for exceeding bmax</t>
  </si>
  <si>
    <t>bmid</t>
  </si>
  <si>
    <t>opening_cost</t>
  </si>
  <si>
    <t>cost of opening a vertiport</t>
  </si>
  <si>
    <t>minuts/unit</t>
  </si>
  <si>
    <t>cord_from</t>
  </si>
  <si>
    <t>cord_to</t>
  </si>
  <si>
    <t>(55.629053, 12.647601)</t>
  </si>
  <si>
    <t>(55.740278, 9.151667)</t>
  </si>
  <si>
    <t>(55.7003, 11.2500)</t>
  </si>
  <si>
    <t>(56.3000, 10.6180)</t>
  </si>
  <si>
    <t>(55.4767, 10.3308)</t>
  </si>
  <si>
    <t>(54.931394, 9.781081)</t>
  </si>
  <si>
    <t>(57.019081, 9.957817)</t>
  </si>
  <si>
    <t>(55.581790, 9.722994)</t>
  </si>
  <si>
    <t>(55.726059, 9.574035)</t>
  </si>
  <si>
    <t>(55.924974, 12.265524)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</si>
</sst>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A0A0A"/>
      <name val="Aptos Narrow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trike/>
      <sz val="12"/>
      <color theme="1"/>
      <name val="Aptos Narrow"/>
      <family val="2"/>
      <scheme val="minor"/>
    </font>
    <font>
      <sz val="12"/>
      <color rgb="FF000000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9" fontId="0" fillId="0" borderId="0" xfId="0" applyNumberFormat="1"/>
    <xf numFmtId="2" fontId="0" fillId="0" borderId="0" xfId="0" applyNumberFormat="1"/>
    <xf numFmtId="0" fontId="3" fillId="0" borderId="0" xfId="0" applyFont="1" applyAlignment="1">
      <alignment horizontal="center" vertical="center"/>
    </xf>
    <xf numFmtId="0" fontId="4" fillId="0" borderId="0" xfId="0" applyFont="1"/>
    <xf numFmtId="2" fontId="4" fillId="0" borderId="0" xfId="0" applyNumberFormat="1" applyFont="1"/>
    <xf numFmtId="0" fontId="0" fillId="0" borderId="0" xfId="0" applyAlignment="1">
      <alignment horizontal="center" vertical="center"/>
    </xf>
    <xf numFmtId="0" fontId="3" fillId="0" borderId="0" xfId="0" applyFont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49E0-A7B4-734A-8962-DC2A879F4079}">
  <dimension ref="A1:D20"/>
  <sheetViews>
    <sheetView zoomScale="109" workbookViewId="0">
      <selection activeCell="B16" sqref="B16"/>
    </sheetView>
  </sheetViews>
  <sheetFormatPr baseColWidth="10" defaultColWidth="11" defaultRowHeight="16" x14ac:dyDescent="0.2"/>
  <cols>
    <col min="1" max="1" width="22.6640625" customWidth="1"/>
    <col min="2" max="2" width="10.83203125" style="4"/>
  </cols>
  <sheetData>
    <row r="1" spans="1:4" dyDescent="0.2">
      <c r="A1" t="s">
        <v>21</v>
      </c>
    </row>
    <row r="2" spans="1:4" dyDescent="0.2">
      <c r="A2" t="s" s="1">
        <v>20</v>
      </c>
      <c r="B2" s="4">
        <v>5</v>
      </c>
      <c r="D2" t="s">
        <v>7</v>
      </c>
    </row>
    <row r="3" spans="1:4" dyDescent="0.2">
      <c r="A3" t="s">
        <v>15</v>
      </c>
      <c r="B3" s="4">
        <v>0.75</v>
      </c>
      <c r="D3" t="s">
        <v>8</v>
      </c>
    </row>
    <row r="4" spans="1:4" dyDescent="0.2">
      <c r="A4" t="s">
        <v>46</v>
      </c>
      <c r="B4" s="4">
        <v>400</v>
      </c>
      <c r="D4" t="s">
        <v>47</v>
      </c>
    </row>
    <row r="5" spans="1:4" dyDescent="0.2">
      <c r="A5" t="s">
        <v>16</v>
      </c>
      <c r="B5" s="4">
        <v>300</v>
      </c>
      <c r="D5" t="s">
        <v>43</v>
      </c>
    </row>
    <row r="6" spans="1:4" dyDescent="0.2">
      <c r="A6" t="s">
        <v>17</v>
      </c>
      <c r="B6" s="4">
        <v>1.51</v>
      </c>
      <c r="D6" t="s">
        <v>9</v>
      </c>
    </row>
    <row r="7" spans="1:4" dyDescent="0.2">
      <c r="A7" t="s">
        <v>18</v>
      </c>
      <c r="B7" s="4">
        <v>0.3</v>
      </c>
      <c r="D7" t="s">
        <v>10</v>
      </c>
    </row>
    <row r="8" spans="1:4" dyDescent="0.2">
      <c r="A8" t="s">
        <v>19</v>
      </c>
      <c r="B8" s="4">
        <f>0.2/B20</f>
        <v>0.2</v>
      </c>
      <c r="D8" t="s">
        <v>40</v>
      </c>
    </row>
    <row r="9" spans="1:4" dyDescent="0.2">
      <c r="A9" t="s">
        <v>0</v>
      </c>
      <c r="B9" s="4">
        <v>4</v>
      </c>
      <c r="D9" t="s">
        <v>11</v>
      </c>
    </row>
    <row r="10" spans="1:4" dyDescent="0.2">
      <c r="A10" t="s">
        <v>1</v>
      </c>
      <c r="B10" s="4">
        <v>100</v>
      </c>
      <c r="D10" s="3">
        <v>1</v>
      </c>
    </row>
    <row r="11" spans="1:4" dyDescent="0.2">
      <c r="A11" t="s">
        <v>45</v>
      </c>
      <c r="B11" s="4">
        <v>80</v>
      </c>
      <c r="D11" s="3">
        <v>0.8</v>
      </c>
    </row>
    <row r="12" spans="1:4" dyDescent="0.2">
      <c r="A12" t="s">
        <v>2</v>
      </c>
      <c r="B12" s="4">
        <v>40</v>
      </c>
      <c r="D12" s="3">
        <v>0.1</v>
      </c>
    </row>
    <row r="13" spans="1:4" dyDescent="0.2">
      <c r="A13" t="s">
        <v>42</v>
      </c>
      <c r="B13" s="4">
        <v>20</v>
      </c>
      <c r="D13" t="s" s="3">
        <v>44</v>
      </c>
    </row>
    <row r="14" spans="1:4" dyDescent="0.2">
      <c r="A14" t="s">
        <v>3</v>
      </c>
      <c r="B14" s="4">
        <f>2.11*B20</f>
        <v>2.11</v>
      </c>
      <c r="D14" t="s" s="3">
        <v>39</v>
      </c>
    </row>
    <row r="15" spans="1:4" dyDescent="0.2">
      <c r="A15" t="s">
        <v>4</v>
      </c>
      <c r="B15" s="4">
        <f>30/B20</f>
        <v>30</v>
      </c>
      <c r="D15" t="s" s="3">
        <v>12</v>
      </c>
    </row>
    <row r="16" spans="1:4" dyDescent="0.2">
      <c r="A16" t="s">
        <v>5</v>
      </c>
      <c r="B16" s="4">
        <f>20/B20</f>
        <v>20</v>
      </c>
      <c r="D16" t="s" s="3">
        <v>13</v>
      </c>
    </row>
    <row r="17" spans="1:4" dyDescent="0.2">
      <c r="A17" t="s">
        <v>6</v>
      </c>
      <c r="B17" s="4">
        <f>120/B20</f>
        <v>120</v>
      </c>
      <c r="D17" t="s" s="3">
        <v>14</v>
      </c>
    </row>
    <row r="20" spans="1:4" dyDescent="0.2">
      <c r="A20" t="s">
        <v>41</v>
      </c>
      <c r="B20" s="4">
        <v>1</v>
      </c>
      <c r="D20" t="s" s="3">
        <v>48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0D5EA-53B5-1240-9D84-6FE223856A18}">
  <dimension ref="A1:P59"/>
  <sheetViews>
    <sheetView tabSelected="1" zoomScale="91" workbookViewId="0">
      <selection activeCell="O20" sqref="O20"/>
    </sheetView>
  </sheetViews>
  <sheetFormatPr baseColWidth="10" defaultColWidth="10.6640625" defaultRowHeight="16" x14ac:dyDescent="0.2"/>
  <cols>
    <col min="2" max="2" width="17.1640625" bestFit="1" customWidth="1"/>
    <col min="3" max="4" width="17.1640625" customWidth="1"/>
    <col min="5" max="5" width="12.1640625" bestFit="1" customWidth="1"/>
    <col min="6" max="6" width="11.33203125" bestFit="1" customWidth="1"/>
    <col min="7" max="7" width="17.1640625" bestFit="1" customWidth="1"/>
    <col min="8" max="8" width="18.1640625" bestFit="1" customWidth="1"/>
  </cols>
  <sheetData>
    <row r="1" spans="1:16" dyDescent="0.2">
      <c r="A1" t="s" s="9">
        <v>36</v>
      </c>
      <c r="B1" t="s" s="5">
        <v>37</v>
      </c>
      <c r="C1" t="s" s="5">
        <v>49</v>
      </c>
      <c r="D1" t="s" s="5">
        <v>50</v>
      </c>
      <c r="E1" t="s" s="5">
        <v>22</v>
      </c>
      <c r="F1" t="s" s="5">
        <v>23</v>
      </c>
      <c r="G1" t="s" s="5">
        <v>24</v>
      </c>
      <c r="H1" t="s" s="5">
        <v>25</v>
      </c>
      <c r="I1" t="s" s="5">
        <v>26</v>
      </c>
      <c r="J1" t="s" s="5">
        <v>27</v>
      </c>
      <c r="K1" t="s" s="5">
        <v>38</v>
      </c>
      <c r="L1" t="s" s="5">
        <v>28</v>
      </c>
      <c r="N1" t="s" s="6">
        <v>19</v>
      </c>
      <c r="O1" s="7">
        <v>0.2</v>
      </c>
      <c r="P1" s="6"/>
    </row>
    <row r="2" spans="1:16" dyDescent="0.2">
      <c r="A2">
        <v>1</v>
      </c>
      <c r="B2" s="8">
        <v>2</v>
      </c>
      <c r="C2" t="s" s="1">
        <v>51</v>
      </c>
      <c r="D2" t="s" s="2">
        <v>52</v>
      </c>
      <c r="E2">
        <v>185.0</v>
      </c>
      <c r="F2">
        <v>219.0</v>
      </c>
      <c r="G2">
        <v>43.8</v>
      </c>
      <c r="H2">
        <v>4.2</v>
      </c>
      <c r="I2">
        <v>4161.0</v>
      </c>
      <c r="J2">
        <v>1647.0</v>
      </c>
      <c r="K2">
        <v>5808.0</v>
      </c>
      <c r="L2">
        <v>4161.0</v>
      </c>
      <c r="N2" t="s">
        <v>29</v>
      </c>
      <c r="O2" s="4">
        <v>19</v>
      </c>
      <c r="P2" t="s">
        <v>30</v>
      </c>
    </row>
    <row r="3" spans="1:16" dyDescent="0.2">
      <c r="A3">
        <v>1</v>
      </c>
      <c r="B3" s="8">
        <v>3</v>
      </c>
      <c r="C3" t="s" s="1">
        <v>51</v>
      </c>
      <c r="D3" t="s" s="2">
        <v>53</v>
      </c>
      <c r="E3">
        <v>82.0</v>
      </c>
      <c r="F3">
        <v>88.0</v>
      </c>
      <c r="G3">
        <v>17.6</v>
      </c>
      <c r="H3">
        <v>4.7</v>
      </c>
      <c r="I3">
        <v>1672.0</v>
      </c>
      <c r="J3">
        <v>751.0</v>
      </c>
      <c r="K3">
        <v>2423.0</v>
      </c>
      <c r="L3">
        <v>1672.0</v>
      </c>
      <c r="N3" t="s">
        <v>31</v>
      </c>
      <c r="O3" s="4">
        <f>1000/60</f>
        <v>16.666666666666668</v>
      </c>
      <c r="P3" t="s">
        <v>32</v>
      </c>
    </row>
    <row r="4" spans="1:16" dyDescent="0.2">
      <c r="A4">
        <v>1</v>
      </c>
      <c r="B4" s="8">
        <v>4</v>
      </c>
      <c r="C4" t="s" s="1">
        <v>51</v>
      </c>
      <c r="D4" t="s" s="1">
        <v>54</v>
      </c>
      <c r="E4">
        <v>228.0</v>
      </c>
      <c r="F4">
        <v>147.0</v>
      </c>
      <c r="G4">
        <v>29.4</v>
      </c>
      <c r="H4">
        <v>7.8</v>
      </c>
      <c r="I4">
        <v>2793.0</v>
      </c>
      <c r="J4">
        <v>2317.0</v>
      </c>
      <c r="K4">
        <v>5110.0</v>
      </c>
      <c r="L4">
        <v>2793.0</v>
      </c>
      <c r="N4" t="s">
        <v>33</v>
      </c>
      <c r="O4" s="4">
        <v>0.7</v>
      </c>
    </row>
    <row r="5" spans="1:16" dyDescent="0.2">
      <c r="A5">
        <v>1</v>
      </c>
      <c r="B5" s="8">
        <v>5</v>
      </c>
      <c r="C5" t="s" s="1">
        <v>51</v>
      </c>
      <c r="D5" t="s" s="1">
        <v>55</v>
      </c>
      <c r="E5">
        <v>126.0</v>
      </c>
      <c r="F5">
        <v>147.0</v>
      </c>
      <c r="G5">
        <v>29.4</v>
      </c>
      <c r="H5">
        <v>4.3</v>
      </c>
      <c r="I5">
        <v>2793.0</v>
      </c>
      <c r="J5">
        <v>1127.0</v>
      </c>
      <c r="K5">
        <v>3920.0</v>
      </c>
      <c r="L5">
        <v>2793.0</v>
      </c>
      <c r="N5" t="s">
        <v>34</v>
      </c>
      <c r="O5" s="4">
        <v>0</v>
      </c>
      <c r="P5" t="s">
        <v>35</v>
      </c>
    </row>
    <row r="6" spans="1:16" dyDescent="0.2">
      <c r="A6">
        <v>1</v>
      </c>
      <c r="B6" s="8">
        <v>6</v>
      </c>
      <c r="C6" t="s" s="1">
        <v>51</v>
      </c>
      <c r="D6" t="s" s="1">
        <v>56</v>
      </c>
      <c r="E6">
        <v>205.0</v>
      </c>
      <c r="F6">
        <v>197.0</v>
      </c>
      <c r="G6">
        <v>39.4</v>
      </c>
      <c r="H6">
        <v>5.2</v>
      </c>
      <c r="I6">
        <v>3743.0</v>
      </c>
      <c r="J6">
        <v>1932.0</v>
      </c>
      <c r="K6">
        <v>5675.0</v>
      </c>
      <c r="L6">
        <v>3743.0</v>
      </c>
      <c r="O6" s="4"/>
    </row>
    <row r="7" spans="1:16" dyDescent="0.2">
      <c r="A7">
        <v>1</v>
      </c>
      <c r="B7" s="8">
        <v>7</v>
      </c>
      <c r="C7" t="s" s="1">
        <v>51</v>
      </c>
      <c r="D7" t="s" s="1">
        <v>57</v>
      </c>
      <c r="E7">
        <v>263.0</v>
      </c>
      <c r="F7">
        <v>227.0</v>
      </c>
      <c r="G7">
        <v>45.4</v>
      </c>
      <c r="H7">
        <v>5.8</v>
      </c>
      <c r="I7">
        <v>4313.0</v>
      </c>
      <c r="J7">
        <v>2539.0</v>
      </c>
      <c r="K7">
        <v>6852.0</v>
      </c>
      <c r="L7">
        <v>4313.0</v>
      </c>
      <c r="O7" s="4"/>
    </row>
    <row r="8" spans="1:16" dyDescent="0.2">
      <c r="A8">
        <v>1</v>
      </c>
      <c r="B8" s="8">
        <v>8</v>
      </c>
      <c r="C8" t="s" s="1">
        <v>51</v>
      </c>
      <c r="D8" t="s" s="1">
        <v>58</v>
      </c>
      <c r="E8">
        <v>143.0</v>
      </c>
      <c r="F8">
        <v>184.0</v>
      </c>
      <c r="G8">
        <v>36.8</v>
      </c>
      <c r="H8">
        <v>3.9</v>
      </c>
      <c r="I8">
        <v>3496.0</v>
      </c>
      <c r="J8">
        <v>1239.0</v>
      </c>
      <c r="K8">
        <v>4735.0</v>
      </c>
      <c r="L8">
        <v>3496.0</v>
      </c>
      <c r="O8" s="4"/>
    </row>
    <row r="9" spans="1:16" dyDescent="0.2">
      <c r="A9">
        <v>1</v>
      </c>
      <c r="B9" s="8">
        <v>9</v>
      </c>
      <c r="C9" t="s" s="1">
        <v>51</v>
      </c>
      <c r="D9" t="s" s="1">
        <v>59</v>
      </c>
      <c r="E9">
        <v>155.0</v>
      </c>
      <c r="F9">
        <v>193.0</v>
      </c>
      <c r="G9">
        <v>38.6</v>
      </c>
      <c r="H9">
        <v>4.0</v>
      </c>
      <c r="I9">
        <v>3667.0</v>
      </c>
      <c r="J9">
        <v>1358.0</v>
      </c>
      <c r="K9">
        <v>5025.0</v>
      </c>
      <c r="L9">
        <v>3667.0</v>
      </c>
      <c r="O9" s="4"/>
    </row>
    <row r="10" spans="1:16" dyDescent="0.2">
      <c r="A10">
        <v>1</v>
      </c>
      <c r="B10" s="8">
        <v>10</v>
      </c>
      <c r="C10" t="s" s="1">
        <v>51</v>
      </c>
      <c r="D10" t="s" s="1">
        <v>60</v>
      </c>
      <c r="E10">
        <v>42.0</v>
      </c>
      <c r="F10">
        <v>41.0</v>
      </c>
      <c r="G10">
        <v>8.2</v>
      </c>
      <c r="H10">
        <v>5.1</v>
      </c>
      <c r="I10">
        <v>779.0</v>
      </c>
      <c r="J10">
        <v>394.0</v>
      </c>
      <c r="K10">
        <v>1173.0</v>
      </c>
      <c r="L10">
        <v>779.0</v>
      </c>
      <c r="O10" s="4"/>
    </row>
    <row r="11" spans="1:16" dyDescent="0.2">
      <c r="A11">
        <v>2</v>
      </c>
      <c r="B11" s="8">
        <v>3</v>
      </c>
      <c r="C11" t="s" s="2">
        <v>52</v>
      </c>
      <c r="D11" t="s" s="2">
        <v>53</v>
      </c>
      <c r="E11">
        <v>173.0</v>
      </c>
      <c r="F11">
        <v>131.0</v>
      </c>
      <c r="G11">
        <v>26.2</v>
      </c>
      <c r="H11">
        <v>6.6</v>
      </c>
      <c r="I11">
        <v>2489.0</v>
      </c>
      <c r="J11">
        <v>1713.0</v>
      </c>
      <c r="K11">
        <v>4202.0</v>
      </c>
      <c r="L11">
        <v>2489.0</v>
      </c>
    </row>
    <row r="12" spans="1:16" dyDescent="0.2">
      <c r="A12">
        <v>2</v>
      </c>
      <c r="B12" s="8">
        <v>4</v>
      </c>
      <c r="C12" t="s" s="2">
        <v>52</v>
      </c>
      <c r="D12" t="s" s="1">
        <v>54</v>
      </c>
      <c r="E12">
        <v>103.0</v>
      </c>
      <c r="F12">
        <v>110.0</v>
      </c>
      <c r="G12">
        <v>22.0</v>
      </c>
      <c r="H12">
        <v>4.7</v>
      </c>
      <c r="I12">
        <v>2090.0</v>
      </c>
      <c r="J12">
        <v>945.0</v>
      </c>
      <c r="K12">
        <v>3035.0</v>
      </c>
      <c r="L12">
        <v>2090.0</v>
      </c>
    </row>
    <row r="13" spans="1:16" dyDescent="0.2">
      <c r="A13">
        <v>2</v>
      </c>
      <c r="B13" s="8">
        <v>5</v>
      </c>
      <c r="C13" t="s" s="2">
        <v>52</v>
      </c>
      <c r="D13" t="s" s="1">
        <v>55</v>
      </c>
      <c r="E13">
        <v>89.0</v>
      </c>
      <c r="F13">
        <v>80.0</v>
      </c>
      <c r="G13">
        <v>16.0</v>
      </c>
      <c r="H13">
        <v>5.6</v>
      </c>
      <c r="I13">
        <v>1520.0</v>
      </c>
      <c r="J13">
        <v>852.0</v>
      </c>
      <c r="K13">
        <v>2372.0</v>
      </c>
      <c r="L13">
        <v>1520.0</v>
      </c>
    </row>
    <row r="14" spans="1:16" dyDescent="0.2">
      <c r="A14">
        <v>2</v>
      </c>
      <c r="B14" s="8">
        <v>6</v>
      </c>
      <c r="C14" t="s" s="2">
        <v>52</v>
      </c>
      <c r="D14" t="s" s="1">
        <v>56</v>
      </c>
      <c r="E14">
        <v>100.0</v>
      </c>
      <c r="F14">
        <v>98.0</v>
      </c>
      <c r="G14">
        <v>19.6</v>
      </c>
      <c r="H14">
        <v>5.1</v>
      </c>
      <c r="I14">
        <v>1862.0</v>
      </c>
      <c r="J14">
        <v>938.0</v>
      </c>
      <c r="K14">
        <v>2800.0</v>
      </c>
      <c r="L14">
        <v>1862.0</v>
      </c>
    </row>
    <row r="15" spans="1:16" dyDescent="0.2">
      <c r="A15">
        <v>2</v>
      </c>
      <c r="B15" s="8">
        <v>7</v>
      </c>
      <c r="C15" t="s" s="2">
        <v>52</v>
      </c>
      <c r="D15" t="s" s="11">
        <v>57</v>
      </c>
      <c r="E15">
        <v>138.0</v>
      </c>
      <c r="F15">
        <v>151.0</v>
      </c>
      <c r="G15">
        <v>30.2</v>
      </c>
      <c r="H15">
        <v>4.6</v>
      </c>
      <c r="I15">
        <v>2869.0</v>
      </c>
      <c r="J15">
        <v>1258.0</v>
      </c>
      <c r="K15">
        <v>4127.0</v>
      </c>
      <c r="L15">
        <v>2869.0</v>
      </c>
    </row>
    <row r="16" spans="1:16" dyDescent="0.2">
      <c r="A16">
        <v>2</v>
      </c>
      <c r="B16" s="8">
        <v>8</v>
      </c>
      <c r="C16" t="s" s="2">
        <v>52</v>
      </c>
      <c r="D16" t="s" s="1">
        <v>58</v>
      </c>
      <c r="E16">
        <v>55.0</v>
      </c>
      <c r="F16">
        <v>40.0</v>
      </c>
      <c r="G16">
        <v>8.0</v>
      </c>
      <c r="H16">
        <v>6.9</v>
      </c>
      <c r="I16">
        <v>760.0</v>
      </c>
      <c r="J16">
        <v>548.0</v>
      </c>
      <c r="K16">
        <v>1308.0</v>
      </c>
      <c r="L16">
        <v>760.0</v>
      </c>
    </row>
    <row r="17" spans="1:16" dyDescent="0.2">
      <c r="A17">
        <v>2</v>
      </c>
      <c r="B17" s="8">
        <v>9</v>
      </c>
      <c r="C17" t="s" s="2">
        <v>52</v>
      </c>
      <c r="D17" t="s" s="1">
        <v>59</v>
      </c>
      <c r="E17">
        <v>38.0</v>
      </c>
      <c r="F17">
        <v>26.0</v>
      </c>
      <c r="G17">
        <v>5.2</v>
      </c>
      <c r="H17">
        <v>7.3</v>
      </c>
      <c r="I17">
        <v>494.0</v>
      </c>
      <c r="J17">
        <v>383.0</v>
      </c>
      <c r="K17">
        <v>877.0</v>
      </c>
      <c r="L17">
        <v>494.0</v>
      </c>
    </row>
    <row r="18" spans="1:16" dyDescent="0.2">
      <c r="A18">
        <v>2</v>
      </c>
      <c r="B18" s="8">
        <v>10</v>
      </c>
      <c r="C18" t="s" s="2">
        <v>52</v>
      </c>
      <c r="D18" t="s" s="1">
        <v>60</v>
      </c>
      <c r="E18">
        <v>205.0</v>
      </c>
      <c r="F18">
        <v>196.0</v>
      </c>
      <c r="G18">
        <v>39.2</v>
      </c>
      <c r="H18">
        <v>5.2</v>
      </c>
      <c r="I18">
        <v>3724.0</v>
      </c>
      <c r="J18">
        <v>1934.0</v>
      </c>
      <c r="K18">
        <v>5658.0</v>
      </c>
      <c r="L18">
        <v>3724.0</v>
      </c>
    </row>
    <row r="19" spans="1:16" dyDescent="0.2">
      <c r="A19">
        <v>3</v>
      </c>
      <c r="B19" s="8">
        <v>4</v>
      </c>
      <c r="C19" t="s" s="2">
        <v>53</v>
      </c>
      <c r="D19" t="s" s="1">
        <v>54</v>
      </c>
      <c r="E19">
        <v>215.0</v>
      </c>
      <c r="F19">
        <v>77.0</v>
      </c>
      <c r="G19">
        <v>15.4</v>
      </c>
      <c r="H19">
        <v>14.0</v>
      </c>
      <c r="I19">
        <v>1463.0</v>
      </c>
      <c r="J19">
        <v>2329.0</v>
      </c>
      <c r="K19">
        <v>3792.0</v>
      </c>
      <c r="L19">
        <v>2329.0</v>
      </c>
    </row>
    <row r="20" spans="1:16" dyDescent="0.2">
      <c r="A20">
        <v>3</v>
      </c>
      <c r="B20" s="8">
        <v>5</v>
      </c>
      <c r="C20" t="s" s="2">
        <v>53</v>
      </c>
      <c r="D20" t="s" s="1">
        <v>55</v>
      </c>
      <c r="E20">
        <v>113.0</v>
      </c>
      <c r="F20">
        <v>63.0</v>
      </c>
      <c r="G20">
        <v>12.6</v>
      </c>
      <c r="H20">
        <v>9.0</v>
      </c>
      <c r="I20">
        <v>1197.0</v>
      </c>
      <c r="J20">
        <v>1171.0</v>
      </c>
      <c r="K20">
        <v>2368.0</v>
      </c>
      <c r="L20">
        <v>1197.0</v>
      </c>
    </row>
    <row r="21" spans="1:16" dyDescent="0.2">
      <c r="A21">
        <v>3</v>
      </c>
      <c r="B21" s="8">
        <v>6</v>
      </c>
      <c r="C21" t="s" s="2">
        <v>53</v>
      </c>
      <c r="D21" t="s" s="1">
        <v>56</v>
      </c>
      <c r="E21">
        <v>192.0</v>
      </c>
      <c r="F21">
        <v>126.0</v>
      </c>
      <c r="G21">
        <v>25.2</v>
      </c>
      <c r="H21">
        <v>7.6</v>
      </c>
      <c r="I21">
        <v>2394.0</v>
      </c>
      <c r="J21">
        <v>1946.0</v>
      </c>
      <c r="K21">
        <v>4340.0</v>
      </c>
      <c r="L21">
        <v>2394.0</v>
      </c>
    </row>
    <row r="22" spans="1:16" dyDescent="0.2">
      <c r="A22">
        <v>3</v>
      </c>
      <c r="B22" s="8">
        <v>7</v>
      </c>
      <c r="C22" t="s" s="2">
        <v>53</v>
      </c>
      <c r="D22" t="s" s="11">
        <v>57</v>
      </c>
      <c r="E22">
        <v>250.0</v>
      </c>
      <c r="F22">
        <v>167.0</v>
      </c>
      <c r="G22">
        <v>33.4</v>
      </c>
      <c r="H22">
        <v>7.5</v>
      </c>
      <c r="I22">
        <v>3173.0</v>
      </c>
      <c r="J22">
        <v>2527.0</v>
      </c>
      <c r="K22">
        <v>5700.0</v>
      </c>
      <c r="L22">
        <v>3173.0</v>
      </c>
    </row>
    <row r="23" spans="1:16" dyDescent="0.2">
      <c r="A23">
        <v>3</v>
      </c>
      <c r="B23" s="8">
        <v>8</v>
      </c>
      <c r="C23" t="s" s="2">
        <v>53</v>
      </c>
      <c r="D23" t="s" s="1">
        <v>58</v>
      </c>
      <c r="E23">
        <v>130.0</v>
      </c>
      <c r="F23">
        <v>97.0</v>
      </c>
      <c r="G23">
        <v>19.4</v>
      </c>
      <c r="H23">
        <v>6.7</v>
      </c>
      <c r="I23">
        <v>1843.0</v>
      </c>
      <c r="J23">
        <v>1290.0</v>
      </c>
      <c r="K23">
        <v>3133.0</v>
      </c>
      <c r="L23">
        <v>1843.0</v>
      </c>
    </row>
    <row r="24" spans="1:16" dyDescent="0.2">
      <c r="A24">
        <v>3</v>
      </c>
      <c r="B24" s="8">
        <v>9</v>
      </c>
      <c r="C24" t="s" s="2">
        <v>53</v>
      </c>
      <c r="D24" t="s" s="1">
        <v>59</v>
      </c>
      <c r="E24">
        <v>142.0</v>
      </c>
      <c r="F24">
        <v>105.0</v>
      </c>
      <c r="G24">
        <v>21.0</v>
      </c>
      <c r="H24">
        <v>6.8</v>
      </c>
      <c r="I24">
        <v>1995.0</v>
      </c>
      <c r="J24">
        <v>1412.0</v>
      </c>
      <c r="K24">
        <v>3407.0</v>
      </c>
      <c r="L24">
        <v>1995.0</v>
      </c>
    </row>
    <row r="25" spans="1:16" dyDescent="0.2">
      <c r="A25">
        <v>3</v>
      </c>
      <c r="B25" s="8">
        <v>10</v>
      </c>
      <c r="C25" t="s" s="2">
        <v>53</v>
      </c>
      <c r="D25" t="s" s="1">
        <v>60</v>
      </c>
      <c r="E25">
        <v>89.0</v>
      </c>
      <c r="F25">
        <v>68.0</v>
      </c>
      <c r="G25">
        <v>13.6</v>
      </c>
      <c r="H25">
        <v>6.5</v>
      </c>
      <c r="I25">
        <v>1292.0</v>
      </c>
      <c r="J25">
        <v>880.0</v>
      </c>
      <c r="K25">
        <v>2172.0</v>
      </c>
      <c r="L25">
        <v>1292.0</v>
      </c>
    </row>
    <row r="26" spans="1:16" dyDescent="0.2">
      <c r="A26">
        <v>4</v>
      </c>
      <c r="B26" s="8">
        <v>5</v>
      </c>
      <c r="C26" t="s" s="1">
        <v>54</v>
      </c>
      <c r="D26" t="s" s="1">
        <v>55</v>
      </c>
      <c r="E26">
        <v>130.0</v>
      </c>
      <c r="F26">
        <v>93.0</v>
      </c>
      <c r="G26">
        <v>18.6</v>
      </c>
      <c r="H26">
        <v>7.0</v>
      </c>
      <c r="I26">
        <v>1767.0</v>
      </c>
      <c r="J26">
        <v>1300.0</v>
      </c>
      <c r="K26">
        <v>3067.0</v>
      </c>
      <c r="L26">
        <v>1767.0</v>
      </c>
    </row>
    <row r="27" spans="1:16" dyDescent="0.2">
      <c r="A27">
        <v>4</v>
      </c>
      <c r="B27" s="8">
        <v>6</v>
      </c>
      <c r="C27" t="s" s="1">
        <v>54</v>
      </c>
      <c r="D27" t="s" s="1">
        <v>56</v>
      </c>
      <c r="E27">
        <v>149.0</v>
      </c>
      <c r="F27">
        <v>161.0</v>
      </c>
      <c r="G27">
        <v>32.2</v>
      </c>
      <c r="H27">
        <v>4.6</v>
      </c>
      <c r="I27">
        <v>3059.0</v>
      </c>
      <c r="J27">
        <v>1363.0</v>
      </c>
      <c r="K27">
        <v>4422.0</v>
      </c>
      <c r="L27">
        <v>3059.0</v>
      </c>
    </row>
    <row r="28" spans="1:16" dyDescent="0.2">
      <c r="A28">
        <v>4</v>
      </c>
      <c r="B28" s="8">
        <v>7</v>
      </c>
      <c r="C28" t="s" s="1">
        <v>54</v>
      </c>
      <c r="D28" t="s" s="11">
        <v>57</v>
      </c>
      <c r="E28">
        <v>93.0</v>
      </c>
      <c r="F28">
        <v>90.0</v>
      </c>
      <c r="G28">
        <v>18.0</v>
      </c>
      <c r="H28">
        <v>5.2</v>
      </c>
      <c r="I28">
        <v>1710.0</v>
      </c>
      <c r="J28">
        <v>875.0</v>
      </c>
      <c r="K28">
        <v>2585.0</v>
      </c>
      <c r="L28">
        <v>1710.0</v>
      </c>
    </row>
    <row r="29" spans="1:16" dyDescent="0.2">
      <c r="A29">
        <v>4</v>
      </c>
      <c r="B29" s="8">
        <v>8</v>
      </c>
      <c r="C29" t="s" s="1">
        <v>54</v>
      </c>
      <c r="D29" t="s" s="1">
        <v>58</v>
      </c>
      <c r="E29">
        <v>97.0</v>
      </c>
      <c r="F29">
        <v>97.0</v>
      </c>
      <c r="G29">
        <v>19.4</v>
      </c>
      <c r="H29">
        <v>5.0</v>
      </c>
      <c r="I29">
        <v>1843.0</v>
      </c>
      <c r="J29">
        <v>905.0</v>
      </c>
      <c r="K29">
        <v>2748.0</v>
      </c>
      <c r="L29">
        <v>1843.0</v>
      </c>
    </row>
    <row r="30" spans="1:16" dyDescent="0.2">
      <c r="A30">
        <v>4</v>
      </c>
      <c r="B30" s="8">
        <v>9</v>
      </c>
      <c r="C30" t="s" s="1">
        <v>54</v>
      </c>
      <c r="D30" t="s" s="1">
        <v>59</v>
      </c>
      <c r="E30">
        <v>76.0</v>
      </c>
      <c r="F30">
        <v>91.0</v>
      </c>
      <c r="G30">
        <v>18.2</v>
      </c>
      <c r="H30">
        <v>4.2</v>
      </c>
      <c r="I30">
        <v>1729.0</v>
      </c>
      <c r="J30">
        <v>674.0</v>
      </c>
      <c r="K30">
        <v>2403.0</v>
      </c>
      <c r="L30">
        <v>1729.0</v>
      </c>
    </row>
    <row r="31" spans="1:16" dyDescent="0.2">
      <c r="A31">
        <v>4</v>
      </c>
      <c r="B31" s="8">
        <v>10</v>
      </c>
      <c r="C31" t="s" s="1">
        <v>54</v>
      </c>
      <c r="D31" t="s" s="1">
        <v>60</v>
      </c>
      <c r="E31">
        <v>246.0</v>
      </c>
      <c r="F31">
        <v>110.0</v>
      </c>
      <c r="G31">
        <v>22.0</v>
      </c>
      <c r="H31">
        <v>11.2</v>
      </c>
      <c r="I31">
        <v>2090.0</v>
      </c>
      <c r="J31">
        <v>2613.0</v>
      </c>
      <c r="K31">
        <v>4703.0</v>
      </c>
      <c r="L31">
        <v>2613.0</v>
      </c>
    </row>
    <row r="32" spans="1:16" dyDescent="0.2">
      <c r="A32">
        <v>5</v>
      </c>
      <c r="B32" s="8">
        <v>6</v>
      </c>
      <c r="C32" t="s" s="1">
        <v>55</v>
      </c>
      <c r="D32" t="s" s="1">
        <v>56</v>
      </c>
      <c r="E32">
        <v>110.0</v>
      </c>
      <c r="F32">
        <v>70.0</v>
      </c>
      <c r="G32">
        <v>14.0</v>
      </c>
      <c r="H32">
        <v>7.9</v>
      </c>
      <c r="I32">
        <v>1330.0</v>
      </c>
      <c r="J32">
        <v>1120.0</v>
      </c>
      <c r="K32">
        <v>2450.0</v>
      </c>
      <c r="L32">
        <v>1330.0</v>
      </c>
    </row>
    <row r="33" spans="1:16" dyDescent="0.2">
      <c r="A33" s="10">
        <v>5</v>
      </c>
      <c r="B33" s="8">
        <v>7</v>
      </c>
      <c r="C33" t="s" s="1">
        <v>55</v>
      </c>
      <c r="D33" t="s" s="11">
        <v>57</v>
      </c>
      <c r="E33">
        <v>168.0</v>
      </c>
      <c r="F33">
        <v>173.0</v>
      </c>
      <c r="G33">
        <v>34.6</v>
      </c>
      <c r="H33">
        <v>4.9</v>
      </c>
      <c r="I33">
        <v>3287.0</v>
      </c>
      <c r="J33">
        <v>1556.0</v>
      </c>
      <c r="K33">
        <v>4843.0</v>
      </c>
      <c r="L33">
        <v>3287.0</v>
      </c>
    </row>
    <row r="34" spans="1:16" dyDescent="0.2">
      <c r="A34">
        <v>5</v>
      </c>
      <c r="B34" s="8">
        <v>8</v>
      </c>
      <c r="C34" t="s" s="1">
        <v>55</v>
      </c>
      <c r="D34" t="s" s="1">
        <v>58</v>
      </c>
      <c r="E34">
        <v>48.0</v>
      </c>
      <c r="F34">
        <v>40.0</v>
      </c>
      <c r="G34">
        <v>8.0</v>
      </c>
      <c r="H34">
        <v>6.0</v>
      </c>
      <c r="I34">
        <v>760.0</v>
      </c>
      <c r="J34">
        <v>467.0</v>
      </c>
      <c r="K34">
        <v>1227.0</v>
      </c>
      <c r="L34">
        <v>760.0</v>
      </c>
    </row>
    <row r="35" spans="1:16" dyDescent="0.2">
      <c r="A35">
        <v>5</v>
      </c>
      <c r="B35" s="8">
        <v>9</v>
      </c>
      <c r="C35" t="s" s="1">
        <v>55</v>
      </c>
      <c r="D35" t="s" s="1">
        <v>59</v>
      </c>
      <c r="E35">
        <v>60.0</v>
      </c>
      <c r="F35">
        <v>55.0</v>
      </c>
      <c r="G35">
        <v>11.0</v>
      </c>
      <c r="H35">
        <v>5.5</v>
      </c>
      <c r="I35">
        <v>1045.0</v>
      </c>
      <c r="J35">
        <v>572.0</v>
      </c>
      <c r="K35">
        <v>1617.0</v>
      </c>
      <c r="L35">
        <v>1045.0</v>
      </c>
    </row>
    <row r="36" spans="1:16" dyDescent="0.2">
      <c r="A36">
        <v>5</v>
      </c>
      <c r="B36" s="8">
        <v>10</v>
      </c>
      <c r="C36" t="s" s="1">
        <v>55</v>
      </c>
      <c r="D36" t="s" s="1">
        <v>60</v>
      </c>
      <c r="E36">
        <v>145.0</v>
      </c>
      <c r="F36">
        <v>131.0</v>
      </c>
      <c r="G36">
        <v>26.2</v>
      </c>
      <c r="H36">
        <v>5.5</v>
      </c>
      <c r="I36">
        <v>2489.0</v>
      </c>
      <c r="J36">
        <v>1386.0</v>
      </c>
      <c r="K36">
        <v>3875.0</v>
      </c>
      <c r="L36">
        <v>2489.0</v>
      </c>
    </row>
    <row r="37" spans="1:16" dyDescent="0.2">
      <c r="A37">
        <v>6</v>
      </c>
      <c r="B37" s="8">
        <v>7</v>
      </c>
      <c r="C37" t="s" s="1">
        <v>56</v>
      </c>
      <c r="D37" t="s" s="11">
        <v>57</v>
      </c>
      <c r="E37">
        <v>185.0</v>
      </c>
      <c r="F37">
        <v>232.0</v>
      </c>
      <c r="G37">
        <v>46.4</v>
      </c>
      <c r="H37">
        <v>4.0</v>
      </c>
      <c r="I37">
        <v>4408.0</v>
      </c>
      <c r="J37">
        <v>1617.0</v>
      </c>
      <c r="K37">
        <v>6025.0</v>
      </c>
      <c r="L37">
        <v>4408.0</v>
      </c>
    </row>
    <row r="38" spans="1:16" dyDescent="0.2">
      <c r="A38">
        <v>6</v>
      </c>
      <c r="B38" s="8">
        <v>8</v>
      </c>
      <c r="C38" t="s" s="1">
        <v>56</v>
      </c>
      <c r="D38" t="s" s="1">
        <v>58</v>
      </c>
      <c r="E38">
        <v>77.0</v>
      </c>
      <c r="F38">
        <v>72.0</v>
      </c>
      <c r="G38">
        <v>14.4</v>
      </c>
      <c r="H38">
        <v>5.3</v>
      </c>
      <c r="I38">
        <v>1368.0</v>
      </c>
      <c r="J38">
        <v>730.0</v>
      </c>
      <c r="K38">
        <v>2098.0</v>
      </c>
      <c r="L38">
        <v>1368.0</v>
      </c>
    </row>
    <row r="39" spans="1:16" dyDescent="0.2">
      <c r="A39">
        <v>6</v>
      </c>
      <c r="B39" s="8">
        <v>9</v>
      </c>
      <c r="C39" t="s" s="1">
        <v>56</v>
      </c>
      <c r="D39" t="s" s="1">
        <v>59</v>
      </c>
      <c r="E39">
        <v>78.0</v>
      </c>
      <c r="F39">
        <v>89.0</v>
      </c>
      <c r="G39">
        <v>17.8</v>
      </c>
      <c r="H39">
        <v>4.4</v>
      </c>
      <c r="I39">
        <v>1691.0</v>
      </c>
      <c r="J39">
        <v>702.0</v>
      </c>
      <c r="K39">
        <v>2393.0</v>
      </c>
      <c r="L39">
        <v>1691.0</v>
      </c>
    </row>
    <row r="40" spans="1:16" dyDescent="0.2">
      <c r="A40">
        <v>6</v>
      </c>
      <c r="B40" s="8">
        <v>10</v>
      </c>
      <c r="C40" t="s" s="1">
        <v>56</v>
      </c>
      <c r="D40" t="s" s="1">
        <v>60</v>
      </c>
      <c r="E40">
        <v>224.0</v>
      </c>
      <c r="F40">
        <v>192.0</v>
      </c>
      <c r="G40">
        <v>38.4</v>
      </c>
      <c r="H40">
        <v>5.8</v>
      </c>
      <c r="I40">
        <v>3648.0</v>
      </c>
      <c r="J40">
        <v>2165.0</v>
      </c>
      <c r="K40">
        <v>5813.0</v>
      </c>
      <c r="L40">
        <v>3648.0</v>
      </c>
    </row>
    <row r="41" spans="1:16" dyDescent="0.2">
      <c r="A41">
        <v>7</v>
      </c>
      <c r="B41" s="8">
        <v>8</v>
      </c>
      <c r="C41" t="s" s="1">
        <v>57</v>
      </c>
      <c r="D41" t="s" s="1">
        <v>58</v>
      </c>
      <c r="E41">
        <v>131.0</v>
      </c>
      <c r="F41">
        <v>160.0</v>
      </c>
      <c r="G41">
        <v>32.0</v>
      </c>
      <c r="H41">
        <v>4.1</v>
      </c>
      <c r="I41">
        <v>3040.0</v>
      </c>
      <c r="J41">
        <v>1155.0</v>
      </c>
      <c r="K41">
        <v>4195.0</v>
      </c>
      <c r="L41">
        <v>3040.0</v>
      </c>
    </row>
    <row r="42" spans="1:16" dyDescent="0.2">
      <c r="A42">
        <v>7</v>
      </c>
      <c r="B42" s="8">
        <v>9</v>
      </c>
      <c r="C42" t="s" s="1">
        <v>57</v>
      </c>
      <c r="D42" t="s" s="1">
        <v>59</v>
      </c>
      <c r="E42">
        <v>110.0</v>
      </c>
      <c r="F42">
        <v>146.0</v>
      </c>
      <c r="G42">
        <v>29.2</v>
      </c>
      <c r="H42">
        <v>3.8</v>
      </c>
      <c r="I42">
        <v>2774.0</v>
      </c>
      <c r="J42">
        <v>943.0</v>
      </c>
      <c r="K42">
        <v>3717.0</v>
      </c>
      <c r="L42">
        <v>2774.0</v>
      </c>
    </row>
    <row r="43" spans="1:16" dyDescent="0.2">
      <c r="A43">
        <v>7</v>
      </c>
      <c r="B43" s="8">
        <v>10</v>
      </c>
      <c r="C43" t="s" s="1">
        <v>57</v>
      </c>
      <c r="D43" t="s" s="1">
        <v>60</v>
      </c>
      <c r="E43">
        <v>280.0</v>
      </c>
      <c r="F43">
        <v>187.0</v>
      </c>
      <c r="G43">
        <v>37.4</v>
      </c>
      <c r="H43">
        <v>7.5</v>
      </c>
      <c r="I43">
        <v>3553.0</v>
      </c>
      <c r="J43">
        <v>2830.0</v>
      </c>
      <c r="K43">
        <v>6383.0</v>
      </c>
      <c r="L43">
        <v>3553.0</v>
      </c>
    </row>
    <row r="44" spans="1:16" dyDescent="0.2">
      <c r="A44">
        <v>8</v>
      </c>
      <c r="B44" s="8">
        <v>9</v>
      </c>
      <c r="C44" t="s" s="1">
        <v>58</v>
      </c>
      <c r="D44" t="s" s="1">
        <v>59</v>
      </c>
      <c r="E44">
        <v>26.0</v>
      </c>
      <c r="F44">
        <v>19.0</v>
      </c>
      <c r="G44">
        <v>3.8</v>
      </c>
      <c r="H44">
        <v>6.8</v>
      </c>
      <c r="I44">
        <v>361.0</v>
      </c>
      <c r="J44">
        <v>259.0</v>
      </c>
      <c r="K44">
        <v>620.0</v>
      </c>
      <c r="L44">
        <v>361.0</v>
      </c>
    </row>
    <row r="45" spans="1:16" dyDescent="0.2">
      <c r="A45">
        <v>8</v>
      </c>
      <c r="B45" s="8">
        <v>10</v>
      </c>
      <c r="C45" t="s" s="1">
        <v>58</v>
      </c>
      <c r="D45" t="s" s="1">
        <v>60</v>
      </c>
      <c r="E45">
        <v>163.0</v>
      </c>
      <c r="F45">
        <v>164.0</v>
      </c>
      <c r="G45">
        <v>32.8</v>
      </c>
      <c r="H45">
        <v>5.0</v>
      </c>
      <c r="I45">
        <v>3116.0</v>
      </c>
      <c r="J45">
        <v>1519.0</v>
      </c>
      <c r="K45">
        <v>4635.0</v>
      </c>
      <c r="L45">
        <v>3116.0</v>
      </c>
    </row>
    <row r="46" spans="1:16" dyDescent="0.2">
      <c r="A46">
        <v>9</v>
      </c>
      <c r="B46" s="8">
        <v>10</v>
      </c>
      <c r="C46" t="s" s="1">
        <v>59</v>
      </c>
      <c r="D46" t="s" s="1">
        <v>60</v>
      </c>
      <c r="E46">
        <v>175.0</v>
      </c>
      <c r="F46">
        <v>170.0</v>
      </c>
      <c r="G46">
        <v>34.0</v>
      </c>
      <c r="H46">
        <v>5.1</v>
      </c>
      <c r="I46">
        <v>3230.0</v>
      </c>
      <c r="J46">
        <v>1645.0</v>
      </c>
      <c r="K46">
        <v>4875.0</v>
      </c>
      <c r="L46">
        <v>3230.0</v>
      </c>
    </row>
    <row r="47" spans="1:16" dyDescent="0.2">
      <c r="A47">
        <v>1</v>
      </c>
      <c r="B47" s="8">
        <v>1</v>
      </c>
      <c r="C47" s="8"/>
      <c r="D47" s="8"/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6" dyDescent="0.2">
      <c r="A48">
        <v>2</v>
      </c>
      <c r="B48" s="8">
        <v>2</v>
      </c>
      <c r="C48" s="8"/>
      <c r="D48" s="8"/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6" dyDescent="0.2">
      <c r="A49">
        <v>3</v>
      </c>
      <c r="B49" s="8">
        <v>3</v>
      </c>
      <c r="C49" s="8"/>
      <c r="D49" s="8"/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0" spans="1:16" dyDescent="0.2">
      <c r="A50">
        <v>4</v>
      </c>
      <c r="B50" s="8">
        <v>4</v>
      </c>
      <c r="C50" s="8"/>
      <c r="D50" s="8"/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</row>
    <row r="51" spans="1:16" dyDescent="0.2">
      <c r="A51">
        <v>5</v>
      </c>
      <c r="B51" s="8">
        <v>5</v>
      </c>
      <c r="C51" s="8"/>
      <c r="D51" s="8"/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</row>
    <row r="52" spans="1:16" dyDescent="0.2">
      <c r="A52">
        <v>6</v>
      </c>
      <c r="B52" s="8">
        <v>6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</row>
    <row r="53" spans="1:16" dyDescent="0.2">
      <c r="A53">
        <v>7</v>
      </c>
      <c r="B53" s="8">
        <v>7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</row>
    <row r="54" spans="1:16" dyDescent="0.2">
      <c r="A54">
        <v>8</v>
      </c>
      <c r="B54" s="8">
        <v>8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</row>
    <row r="55" spans="1:16" dyDescent="0.2">
      <c r="A55">
        <v>9</v>
      </c>
      <c r="B55" s="8">
        <v>9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6" dyDescent="0.2">
      <c r="A56">
        <v>10</v>
      </c>
      <c r="B56" s="8">
        <v>10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</row>
    <row r="57" spans="1:16" dyDescent="0.2">
      <c r="G57" s="2"/>
    </row>
    <row r="58" spans="1:16" dyDescent="0.2">
      <c r="G58" s="1"/>
    </row>
    <row r="59" spans="1:16" dyDescent="0.2">
      <c r="G59" s="1"/>
    </row>
  </sheetData>
  <conditionalFormatting sqref="I2:I4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:J4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:L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Parameters</vt:lpstr>
      <vt:lpstr>Prices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Sille Wiberg</dc:creator>
  <cp:lastModifiedBy>Sille Wiberg</cp:lastModifiedBy>
  <dcterms:created xsi:type="dcterms:W3CDTF">2026-03-10T08:39:53Z</dcterms:created>
  <dcterms:modified xsi:type="dcterms:W3CDTF">2026-05-01T08:33:51Z</dcterms:modified>
</cp:coreProperties>
</file>
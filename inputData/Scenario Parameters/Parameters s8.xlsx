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pta\Documents\DTU\Speciale\GitHubFiles\inputData\Scenario Parameters\"/>
    </mc:Choice>
  </mc:AlternateContent>
  <xr:revisionPtr revIDLastSave="0" documentId="13_ncr:1_{F9416544-DBA0-4109-A516-56C8F4E8BCA5}" xr6:coauthVersionLast="47" xr6:coauthVersionMax="47" xr10:uidLastSave="{00000000-0000-0000-0000-000000000000}"/>
  <bookViews>
    <workbookView xWindow="20" yWindow="20" windowWidth="19180" windowHeight="11260" xr2:uid="{63F903F0-DEEC-1344-9131-28787FF511C5}"/>
  </bookViews>
  <sheets>
    <sheet name="Parameters" sheetId="9" r:id="rId1"/>
    <sheet name="Prices" sheetId="1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6" i="13" l="1"/>
  <c r="K46" i="13"/>
  <c r="J46" i="13"/>
  <c r="L45" i="13"/>
  <c r="K45" i="13"/>
  <c r="J45" i="13"/>
  <c r="L44" i="13"/>
  <c r="K44" i="13"/>
  <c r="J44" i="13"/>
  <c r="M43" i="13"/>
  <c r="L43" i="13"/>
  <c r="K43" i="13"/>
  <c r="J43" i="13"/>
  <c r="N43" i="13" s="1"/>
  <c r="L42" i="13"/>
  <c r="K42" i="13"/>
  <c r="J42" i="13"/>
  <c r="M41" i="13"/>
  <c r="L41" i="13"/>
  <c r="N41" i="13" s="1"/>
  <c r="K41" i="13"/>
  <c r="J41" i="13"/>
  <c r="L40" i="13"/>
  <c r="K40" i="13"/>
  <c r="J40" i="13"/>
  <c r="L39" i="13"/>
  <c r="K39" i="13"/>
  <c r="J39" i="13"/>
  <c r="M38" i="13"/>
  <c r="L38" i="13"/>
  <c r="K38" i="13"/>
  <c r="N38" i="13" s="1"/>
  <c r="J38" i="13"/>
  <c r="L37" i="13"/>
  <c r="K37" i="13"/>
  <c r="J37" i="13"/>
  <c r="M36" i="13"/>
  <c r="N36" i="13" s="1"/>
  <c r="L36" i="13"/>
  <c r="K36" i="13"/>
  <c r="J36" i="13"/>
  <c r="M35" i="13"/>
  <c r="L35" i="13"/>
  <c r="K35" i="13"/>
  <c r="J35" i="13"/>
  <c r="N35" i="13" s="1"/>
  <c r="L34" i="13"/>
  <c r="K34" i="13"/>
  <c r="J34" i="13"/>
  <c r="M33" i="13"/>
  <c r="L33" i="13"/>
  <c r="N33" i="13" s="1"/>
  <c r="K33" i="13"/>
  <c r="J33" i="13"/>
  <c r="L32" i="13"/>
  <c r="K32" i="13"/>
  <c r="J32" i="13"/>
  <c r="L31" i="13"/>
  <c r="K31" i="13"/>
  <c r="J31" i="13"/>
  <c r="M30" i="13"/>
  <c r="L30" i="13"/>
  <c r="K30" i="13"/>
  <c r="N30" i="13" s="1"/>
  <c r="J30" i="13"/>
  <c r="L29" i="13"/>
  <c r="K29" i="13"/>
  <c r="J29" i="13"/>
  <c r="M28" i="13"/>
  <c r="N28" i="13" s="1"/>
  <c r="L28" i="13"/>
  <c r="K28" i="13"/>
  <c r="J28" i="13"/>
  <c r="M27" i="13"/>
  <c r="L27" i="13"/>
  <c r="K27" i="13"/>
  <c r="J27" i="13"/>
  <c r="N27" i="13" s="1"/>
  <c r="L26" i="13"/>
  <c r="K26" i="13"/>
  <c r="J26" i="13"/>
  <c r="M25" i="13"/>
  <c r="L25" i="13"/>
  <c r="N25" i="13" s="1"/>
  <c r="K25" i="13"/>
  <c r="J25" i="13"/>
  <c r="L24" i="13"/>
  <c r="K24" i="13"/>
  <c r="J24" i="13"/>
  <c r="L23" i="13"/>
  <c r="K23" i="13"/>
  <c r="J23" i="13"/>
  <c r="M22" i="13"/>
  <c r="L22" i="13"/>
  <c r="K22" i="13"/>
  <c r="N22" i="13" s="1"/>
  <c r="J22" i="13"/>
  <c r="L21" i="13"/>
  <c r="K21" i="13"/>
  <c r="J21" i="13"/>
  <c r="M20" i="13"/>
  <c r="N20" i="13" s="1"/>
  <c r="L20" i="13"/>
  <c r="K20" i="13"/>
  <c r="J20" i="13"/>
  <c r="M19" i="13"/>
  <c r="L19" i="13"/>
  <c r="K19" i="13"/>
  <c r="J19" i="13"/>
  <c r="N19" i="13" s="1"/>
  <c r="L18" i="13"/>
  <c r="K18" i="13"/>
  <c r="J18" i="13"/>
  <c r="M17" i="13"/>
  <c r="L17" i="13"/>
  <c r="N17" i="13" s="1"/>
  <c r="K17" i="13"/>
  <c r="J17" i="13"/>
  <c r="L16" i="13"/>
  <c r="K16" i="13"/>
  <c r="J16" i="13"/>
  <c r="L15" i="13"/>
  <c r="K15" i="13"/>
  <c r="J15" i="13"/>
  <c r="M14" i="13"/>
  <c r="L14" i="13"/>
  <c r="K14" i="13"/>
  <c r="N14" i="13" s="1"/>
  <c r="J14" i="13"/>
  <c r="L13" i="13"/>
  <c r="K13" i="13"/>
  <c r="J13" i="13"/>
  <c r="M12" i="13"/>
  <c r="N12" i="13" s="1"/>
  <c r="L12" i="13"/>
  <c r="K12" i="13"/>
  <c r="J12" i="13"/>
  <c r="M11" i="13"/>
  <c r="L11" i="13"/>
  <c r="K11" i="13"/>
  <c r="J11" i="13"/>
  <c r="N11" i="13" s="1"/>
  <c r="L10" i="13"/>
  <c r="K10" i="13"/>
  <c r="J10" i="13"/>
  <c r="M9" i="13"/>
  <c r="L9" i="13"/>
  <c r="N9" i="13" s="1"/>
  <c r="K9" i="13"/>
  <c r="J9" i="13"/>
  <c r="L8" i="13"/>
  <c r="K8" i="13"/>
  <c r="J8" i="13"/>
  <c r="L7" i="13"/>
  <c r="K7" i="13"/>
  <c r="J7" i="13"/>
  <c r="M6" i="13"/>
  <c r="L6" i="13"/>
  <c r="K6" i="13"/>
  <c r="N6" i="13" s="1"/>
  <c r="J6" i="13"/>
  <c r="L5" i="13"/>
  <c r="K5" i="13"/>
  <c r="J5" i="13"/>
  <c r="M4" i="13"/>
  <c r="N4" i="13" s="1"/>
  <c r="L4" i="13"/>
  <c r="K4" i="13"/>
  <c r="J4" i="13"/>
  <c r="Q3" i="13"/>
  <c r="M46" i="13" s="1"/>
  <c r="M3" i="13"/>
  <c r="L3" i="13"/>
  <c r="K3" i="13"/>
  <c r="N3" i="13" s="1"/>
  <c r="J3" i="13"/>
  <c r="L2" i="13"/>
  <c r="K2" i="13"/>
  <c r="J2" i="13"/>
  <c r="B14" i="9"/>
  <c r="B8" i="9"/>
  <c r="N42" i="13" l="1"/>
  <c r="N24" i="13"/>
  <c r="N45" i="13"/>
  <c r="N2" i="13"/>
  <c r="N34" i="13"/>
  <c r="N46" i="13"/>
  <c r="N5" i="13"/>
  <c r="N44" i="13"/>
  <c r="M8" i="13"/>
  <c r="N8" i="13" s="1"/>
  <c r="M16" i="13"/>
  <c r="N16" i="13" s="1"/>
  <c r="M2" i="13"/>
  <c r="M5" i="13"/>
  <c r="M13" i="13"/>
  <c r="N13" i="13" s="1"/>
  <c r="M21" i="13"/>
  <c r="N21" i="13" s="1"/>
  <c r="M29" i="13"/>
  <c r="N29" i="13" s="1"/>
  <c r="M37" i="13"/>
  <c r="N37" i="13" s="1"/>
  <c r="M45" i="13"/>
  <c r="M40" i="13"/>
  <c r="N40" i="13" s="1"/>
  <c r="M10" i="13"/>
  <c r="N10" i="13" s="1"/>
  <c r="M18" i="13"/>
  <c r="N18" i="13" s="1"/>
  <c r="M26" i="13"/>
  <c r="N26" i="13" s="1"/>
  <c r="M34" i="13"/>
  <c r="M42" i="13"/>
  <c r="M24" i="13"/>
  <c r="M32" i="13"/>
  <c r="N32" i="13" s="1"/>
  <c r="M7" i="13"/>
  <c r="N7" i="13" s="1"/>
  <c r="M15" i="13"/>
  <c r="N15" i="13" s="1"/>
  <c r="M23" i="13"/>
  <c r="N23" i="13" s="1"/>
  <c r="M31" i="13"/>
  <c r="N31" i="13" s="1"/>
  <c r="M39" i="13"/>
  <c r="N39" i="13" s="1"/>
  <c r="M44" i="13"/>
</calcChain>
</file>

<file path=xl/sharedStrings.xml><?xml version="1.0" encoding="utf-8"?>
<sst xmlns="http://schemas.openxmlformats.org/spreadsheetml/2006/main" count="146" uniqueCount="64">
  <si>
    <t>cap_u</t>
  </si>
  <si>
    <t>bmax</t>
  </si>
  <si>
    <t>bmin</t>
  </si>
  <si>
    <t>ec</t>
  </si>
  <si>
    <t>te</t>
  </si>
  <si>
    <t>w</t>
  </si>
  <si>
    <t>ET</t>
  </si>
  <si>
    <t>fd_{i,j} = $3/km</t>
  </si>
  <si>
    <t>fs_{i,j}=75% of fd_{i,j}</t>
  </si>
  <si>
    <t>c_{i,j} = $1/km</t>
  </si>
  <si>
    <t>e_{i,j} = 1%/km</t>
  </si>
  <si>
    <t>seat capacity of eVTOL</t>
  </si>
  <si>
    <t>minimum turnaround time at vertiport</t>
  </si>
  <si>
    <t>maximum waiting time</t>
  </si>
  <si>
    <t>end time</t>
  </si>
  <si>
    <t>fare_stopover_factor</t>
  </si>
  <si>
    <t>p_penalty</t>
  </si>
  <si>
    <t>operating_cost_per_km</t>
  </si>
  <si>
    <t>battery_per_km</t>
  </si>
  <si>
    <t>time_per_km</t>
  </si>
  <si>
    <t>fare_direct_per_km</t>
  </si>
  <si>
    <t>Parameters</t>
  </si>
  <si>
    <t>Bil tid (min)</t>
  </si>
  <si>
    <t>Km fugleflugt</t>
  </si>
  <si>
    <t>eVTOL flyvetid (min)</t>
  </si>
  <si>
    <t>Hvor meget hurtigere</t>
  </si>
  <si>
    <t>Passager km pris</t>
  </si>
  <si>
    <t>kr/km</t>
  </si>
  <si>
    <t>Tidsværdi</t>
  </si>
  <si>
    <t>kr/min</t>
  </si>
  <si>
    <t>Lambda</t>
  </si>
  <si>
    <t>Base fee</t>
  </si>
  <si>
    <t>kr</t>
  </si>
  <si>
    <t>From</t>
  </si>
  <si>
    <t>To</t>
  </si>
  <si>
    <t>fd_sum</t>
  </si>
  <si>
    <t>2,1% battery charged per unit time</t>
  </si>
  <si>
    <t>rt_{i,j} = 0.2 min/km</t>
  </si>
  <si>
    <t>unit time</t>
  </si>
  <si>
    <t>b_penalty</t>
  </si>
  <si>
    <t>penalty for not serving passengergroup</t>
  </si>
  <si>
    <t>bmid</t>
  </si>
  <si>
    <t>opening_cost</t>
  </si>
  <si>
    <t>minuts/unit</t>
  </si>
  <si>
    <t>cord_from</t>
  </si>
  <si>
    <t>cord_to</t>
  </si>
  <si>
    <t>(55.629053, 12.647601)</t>
  </si>
  <si>
    <t>(55.740278, 9.151667)</t>
  </si>
  <si>
    <t>(55.7003, 11.2500)</t>
  </si>
  <si>
    <t>(56.3000, 10.6180)</t>
  </si>
  <si>
    <t>(55.4767, 10.3308)</t>
  </si>
  <si>
    <t>(54.931394, 9.781081)</t>
  </si>
  <si>
    <t>(57.019081, 9.957817)</t>
  </si>
  <si>
    <t>penalty for exceeding bmid</t>
  </si>
  <si>
    <t>(56.408780, 9.417814)</t>
  </si>
  <si>
    <t>(55.088776, 14.721890)</t>
  </si>
  <si>
    <t>(56.049305, 12.584406)</t>
  </si>
  <si>
    <t>Bil km</t>
  </si>
  <si>
    <t>Pris (Bil udgift)</t>
  </si>
  <si>
    <t>Færge (gns. Gælder kun Bornholm)</t>
  </si>
  <si>
    <t>Base</t>
  </si>
  <si>
    <t>Pris (udfra tidsbesparelse)</t>
  </si>
  <si>
    <t>Km bil pris</t>
  </si>
  <si>
    <t>cost of opening a plane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</si>
</sst>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A0A0A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trike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9" fontId="0" fillId="0" borderId="0" xfId="0" applyNumberFormat="1"/>
    <xf numFmtId="2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165" fontId="0" fillId="0" borderId="0" xfId="1" applyNumberFormat="1" applyFont="1"/>
    <xf numFmtId="165" fontId="0" fillId="0" borderId="0" xfId="1" applyNumberFormat="1" applyFont="1" applyAlignment="1">
      <alignment horizontal="center" wrapText="1"/>
    </xf>
    <xf numFmtId="165" fontId="7" fillId="2" borderId="1" xfId="1" applyNumberFormat="1" applyFont="1" applyFill="1" applyBorder="1" applyAlignment="1">
      <alignment horizontal="center" vertical="center"/>
    </xf>
    <xf numFmtId="2" fontId="8" fillId="0" borderId="0" xfId="0" applyNumberFormat="1" applyFont="1"/>
  </cellXfs>
  <cellStyles count="2">
    <cellStyle name="Comma 2" xfId="1" xr:uid="{B5076C6D-4567-C74F-A5A8-80AE462FFA5E}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FD079E-5109-8F49-8A19-E09E2BEBBC8C}" name="Table13" displayName="Table13" ref="A1:N56" totalsRowShown="0" headerRowDxfId="7" dataDxfId="6">
  <autoFilter ref="A1:N56" xr:uid="{CEDCB4F7-0752-8449-BE87-89650C1E9E7C}"/>
  <tableColumns count="14">
    <tableColumn id="1" xr3:uid="{0330B38A-598B-B64A-86F4-FA8E25EAC437}" name="From"/>
    <tableColumn id="2" xr3:uid="{DA4E4644-7B10-0541-B73A-349A5A6836E2}" name="To" dataDxfId="5"/>
    <tableColumn id="3" xr3:uid="{354A3716-07E2-0F49-9392-E1F6D4672CCE}" name="cord_from"/>
    <tableColumn id="4" xr3:uid="{CA960CCE-0555-F44E-9C8F-AE9C1925F667}" name="cord_to"/>
    <tableColumn id="5" xr3:uid="{D42F7B17-60EA-DB4D-8238-39B387D0ABC3}" name="Bil km"/>
    <tableColumn id="6" xr3:uid="{4D9FAB2B-036C-054C-AB09-29F5B4ADED42}" name="Bil tid (min)"/>
    <tableColumn id="7" xr3:uid="{59F6BECD-EB60-114E-826A-884ADDC4EE72}" name="Km fugleflugt"/>
    <tableColumn id="8" xr3:uid="{605D45AE-CBF2-E342-BA16-1B205DDE6C4E}" name="eVTOL flyvetid (min)"/>
    <tableColumn id="9" xr3:uid="{FCFA00C8-AEDC-F54B-AE4D-2360ACC6025E}" name="Hvor meget hurtigere"/>
    <tableColumn id="10" xr3:uid="{DBB7D64B-F97D-5C46-B464-1DA11C10DF3A}" name="Pris (Bil udgift)" dataDxfId="4"/>
    <tableColumn id="11" xr3:uid="{CC283087-BB53-D146-A233-2D178D7E3562}" name="Færge (gns. Gælder kun Bornholm)" dataDxfId="3"/>
    <tableColumn id="12" xr3:uid="{B4DC4D17-2AE3-D34D-926C-7506AC52E6B8}" name="Base" dataDxfId="2">
      <calculatedColumnFormula>$Q$5</calculatedColumnFormula>
    </tableColumn>
    <tableColumn id="13" xr3:uid="{E70B016F-0534-2048-951F-6FD04DC33B7C}" name="Pris (udfra tidsbesparelse)" dataDxfId="1">
      <calculatedColumnFormula>$Q$4*MAX(F2-G2*$Q$1)*$Q$3</calculatedColumnFormula>
    </tableColumn>
    <tableColumn id="14" xr3:uid="{67EF8C2F-B7CB-8D4A-8447-692E942D0514}" name="fd_sum" dataDxfId="0">
      <calculatedColumnFormula>SUM(J2:M2)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C49E0-A7B4-734A-8962-DC2A879F4079}">
  <dimension ref="A1:D20"/>
  <sheetViews>
    <sheetView tabSelected="1" zoomScale="109" workbookViewId="0">
      <selection activeCell="B16" sqref="B16"/>
    </sheetView>
  </sheetViews>
  <sheetFormatPr defaultColWidth="11" defaultRowHeight="16" x14ac:dyDescent="0.4"/>
  <cols>
    <col min="1" max="1" width="22.58203125" customWidth="1"/>
    <col min="2" max="2" width="10.83203125" style="4"/>
  </cols>
  <sheetData>
    <row r="1" spans="1:4" x14ac:dyDescent="0.4">
      <c r="A1" t="s">
        <v>21</v>
      </c>
    </row>
    <row r="2" spans="1:4" x14ac:dyDescent="0.4">
      <c r="A2" s="1" t="s">
        <v>20</v>
      </c>
      <c r="B2" s="4">
        <v>5</v>
      </c>
      <c r="D2" t="s">
        <v>7</v>
      </c>
    </row>
    <row r="3" spans="1:4" x14ac:dyDescent="0.4">
      <c r="A3" t="s">
        <v>15</v>
      </c>
      <c r="B3" s="4">
        <v>0.75</v>
      </c>
      <c r="D3" t="s">
        <v>8</v>
      </c>
    </row>
    <row r="4" spans="1:4" x14ac:dyDescent="0.4">
      <c r="A4" t="s">
        <v>42</v>
      </c>
      <c r="B4" s="4">
        <v>400</v>
      </c>
      <c r="D4" t="s">
        <v>63</v>
      </c>
    </row>
    <row r="5" spans="1:4" x14ac:dyDescent="0.4">
      <c r="A5" t="s">
        <v>16</v>
      </c>
      <c r="B5" s="4">
        <v>300</v>
      </c>
      <c r="D5" t="s">
        <v>40</v>
      </c>
    </row>
    <row r="6" spans="1:4" x14ac:dyDescent="0.4">
      <c r="A6" t="s">
        <v>17</v>
      </c>
      <c r="B6" s="13">
        <v>15</v>
      </c>
      <c r="D6" t="s">
        <v>9</v>
      </c>
    </row>
    <row r="7" spans="1:4" x14ac:dyDescent="0.4">
      <c r="A7" t="s">
        <v>18</v>
      </c>
      <c r="B7" s="4">
        <v>0.3</v>
      </c>
      <c r="D7" t="s">
        <v>10</v>
      </c>
    </row>
    <row r="8" spans="1:4" x14ac:dyDescent="0.4">
      <c r="A8" t="s">
        <v>19</v>
      </c>
      <c r="B8" s="4">
        <f>0.2/B20</f>
        <v>0.2</v>
      </c>
      <c r="D8" t="s">
        <v>37</v>
      </c>
    </row>
    <row r="9" spans="1:4" x14ac:dyDescent="0.4">
      <c r="A9" t="s">
        <v>0</v>
      </c>
      <c r="B9" s="4">
        <v>4</v>
      </c>
      <c r="D9" t="s">
        <v>11</v>
      </c>
    </row>
    <row r="10" spans="1:4" x14ac:dyDescent="0.4">
      <c r="A10" t="s">
        <v>1</v>
      </c>
      <c r="B10" s="4">
        <v>100</v>
      </c>
      <c r="D10" s="3">
        <v>1</v>
      </c>
    </row>
    <row r="11" spans="1:4" x14ac:dyDescent="0.4">
      <c r="A11" t="s">
        <v>41</v>
      </c>
      <c r="B11" s="4">
        <v>80</v>
      </c>
      <c r="D11" s="3">
        <v>0.8</v>
      </c>
    </row>
    <row r="12" spans="1:4" x14ac:dyDescent="0.4">
      <c r="A12" t="s">
        <v>2</v>
      </c>
      <c r="B12" s="4">
        <v>40</v>
      </c>
      <c r="D12" s="3">
        <v>0.4</v>
      </c>
    </row>
    <row r="13" spans="1:4" x14ac:dyDescent="0.4">
      <c r="A13" t="s">
        <v>39</v>
      </c>
      <c r="B13" s="4">
        <v>20</v>
      </c>
      <c r="D13" s="3" t="s">
        <v>53</v>
      </c>
    </row>
    <row r="14" spans="1:4" x14ac:dyDescent="0.4">
      <c r="A14" t="s">
        <v>3</v>
      </c>
      <c r="B14" s="4">
        <f>2.11*B20</f>
        <v>2.11</v>
      </c>
      <c r="D14" s="3" t="s">
        <v>36</v>
      </c>
    </row>
    <row r="15" spans="1:4" x14ac:dyDescent="0.4">
      <c r="A15" t="s">
        <v>4</v>
      </c>
      <c r="B15" s="13">
        <v>15</v>
      </c>
      <c r="D15" s="3" t="s">
        <v>12</v>
      </c>
    </row>
    <row r="16" spans="1:4" x14ac:dyDescent="0.4">
      <c r="A16" t="s">
        <v>5</v>
      </c>
      <c r="B16" s="4">
        <v>20</v>
      </c>
      <c r="D16" s="3" t="s">
        <v>13</v>
      </c>
    </row>
    <row r="17" spans="1:4" x14ac:dyDescent="0.4">
      <c r="A17" t="s">
        <v>6</v>
      </c>
      <c r="B17" s="4">
        <v>780</v>
      </c>
      <c r="D17" s="3" t="s">
        <v>14</v>
      </c>
    </row>
    <row r="20" spans="1:4" x14ac:dyDescent="0.4">
      <c r="A20" t="s">
        <v>38</v>
      </c>
      <c r="B20" s="4">
        <v>1</v>
      </c>
      <c r="D20" s="3" t="s">
        <v>43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C1A80-FC3B-6349-8B7A-4A1A2A7C8FC7}">
  <dimension ref="A1:R56"/>
  <sheetViews>
    <sheetView topLeftCell="D1" zoomScale="70" workbookViewId="0">
      <selection activeCell="N10" sqref="N10"/>
    </sheetView>
  </sheetViews>
  <sheetFormatPr defaultColWidth="10.58203125" defaultRowHeight="16" x14ac:dyDescent="0.4"/>
  <cols>
    <col min="2" max="2" width="17.08203125" bestFit="1" customWidth="1"/>
    <col min="3" max="4" width="17.08203125" customWidth="1"/>
    <col min="5" max="5" width="12.08203125" bestFit="1" customWidth="1"/>
    <col min="6" max="6" width="12.5" customWidth="1"/>
    <col min="7" max="7" width="17.08203125" bestFit="1" customWidth="1"/>
    <col min="8" max="8" width="19.33203125" customWidth="1"/>
    <col min="9" max="9" width="21" style="10" customWidth="1"/>
    <col min="10" max="10" width="13.58203125" style="10" customWidth="1"/>
    <col min="11" max="11" width="32.08203125" style="10" customWidth="1"/>
    <col min="12" max="12" width="10.58203125" style="10"/>
    <col min="13" max="13" width="27" style="10" customWidth="1"/>
    <col min="14" max="14" width="10.83203125" style="10" customWidth="1"/>
  </cols>
  <sheetData>
    <row r="1" spans="1:18" x14ac:dyDescent="0.4">
      <c r="A1" s="7" t="s">
        <v>33</v>
      </c>
      <c r="B1" s="5" t="s">
        <v>34</v>
      </c>
      <c r="C1" s="5" t="s">
        <v>44</v>
      </c>
      <c r="D1" s="5" t="s">
        <v>45</v>
      </c>
      <c r="E1" t="s">
        <v>57</v>
      </c>
      <c r="F1" t="s">
        <v>22</v>
      </c>
      <c r="G1" t="s">
        <v>23</v>
      </c>
      <c r="H1" t="s">
        <v>24</v>
      </c>
      <c r="I1" s="10" t="s">
        <v>25</v>
      </c>
      <c r="J1" s="10" t="s">
        <v>58</v>
      </c>
      <c r="K1" s="11" t="s">
        <v>59</v>
      </c>
      <c r="L1" s="10" t="s">
        <v>60</v>
      </c>
      <c r="M1" s="12" t="s">
        <v>61</v>
      </c>
      <c r="N1" s="10" t="s">
        <v>35</v>
      </c>
      <c r="P1" t="s">
        <v>19</v>
      </c>
      <c r="Q1">
        <v>0.2</v>
      </c>
    </row>
    <row r="2" spans="1:18" x14ac:dyDescent="0.4">
      <c r="A2">
        <v>1</v>
      </c>
      <c r="B2" s="6">
        <v>2</v>
      </c>
      <c r="C2" s="1" t="s">
        <v>46</v>
      </c>
      <c r="D2" s="2" t="s">
        <v>47</v>
      </c>
      <c r="E2">
        <v>267</v>
      </c>
      <c r="F2">
        <v>185</v>
      </c>
      <c r="G2">
        <v>219</v>
      </c>
      <c r="H2">
        <v>43.8</v>
      </c>
      <c r="I2">
        <v>4.2</v>
      </c>
      <c r="J2" s="10">
        <f>$Q$6*E2</f>
        <v>801</v>
      </c>
      <c r="K2" s="10">
        <f>IF(A2=8,250,0)+IF(B2=8,250,0)</f>
        <v>0</v>
      </c>
      <c r="L2" s="10">
        <f>$Q$5</f>
        <v>500</v>
      </c>
      <c r="M2" s="10">
        <f>$Q$4*MAX(F2-G2*$Q$1)*$Q$3</f>
        <v>941.33333333333326</v>
      </c>
      <c r="N2" s="10">
        <f>SUM(J2:M2)</f>
        <v>2242.333333333333</v>
      </c>
      <c r="P2" t="s">
        <v>26</v>
      </c>
      <c r="Q2">
        <v>16</v>
      </c>
      <c r="R2" t="s">
        <v>27</v>
      </c>
    </row>
    <row r="3" spans="1:18" x14ac:dyDescent="0.4">
      <c r="A3">
        <v>1</v>
      </c>
      <c r="B3" s="6">
        <v>3</v>
      </c>
      <c r="C3" s="1" t="s">
        <v>46</v>
      </c>
      <c r="D3" s="2" t="s">
        <v>48</v>
      </c>
      <c r="E3">
        <v>100</v>
      </c>
      <c r="F3">
        <v>82</v>
      </c>
      <c r="G3">
        <v>88</v>
      </c>
      <c r="H3">
        <v>17.600000000000001</v>
      </c>
      <c r="I3">
        <v>4.7</v>
      </c>
      <c r="J3" s="10">
        <f t="shared" ref="J3:J46" si="0">$Q$6*E3</f>
        <v>300</v>
      </c>
      <c r="K3" s="10">
        <f t="shared" ref="K3:K46" si="1">IF(A3=8,250,0)+IF(B3=8,250,0)</f>
        <v>0</v>
      </c>
      <c r="L3" s="10">
        <f t="shared" ref="L3:L46" si="2">$Q$5</f>
        <v>500</v>
      </c>
      <c r="M3" s="10">
        <f t="shared" ref="M3:M46" si="3">$Q$4*MAX(F3-G3*$Q$1)*$Q$3</f>
        <v>429.33333333333337</v>
      </c>
      <c r="N3" s="10">
        <f t="shared" ref="N3:N46" si="4">SUM(J3:M3)</f>
        <v>1229.3333333333335</v>
      </c>
      <c r="P3" t="s">
        <v>28</v>
      </c>
      <c r="Q3">
        <f>800/60</f>
        <v>13.333333333333334</v>
      </c>
      <c r="R3" t="s">
        <v>29</v>
      </c>
    </row>
    <row r="4" spans="1:18" x14ac:dyDescent="0.4">
      <c r="A4">
        <v>1</v>
      </c>
      <c r="B4" s="6">
        <v>4</v>
      </c>
      <c r="C4" s="1" t="s">
        <v>46</v>
      </c>
      <c r="D4" s="1" t="s">
        <v>49</v>
      </c>
      <c r="E4">
        <v>347</v>
      </c>
      <c r="F4">
        <v>228</v>
      </c>
      <c r="G4">
        <v>147</v>
      </c>
      <c r="H4">
        <v>29.4</v>
      </c>
      <c r="I4">
        <v>7.8</v>
      </c>
      <c r="J4" s="10">
        <f t="shared" si="0"/>
        <v>1041</v>
      </c>
      <c r="K4" s="10">
        <f t="shared" si="1"/>
        <v>0</v>
      </c>
      <c r="L4" s="10">
        <f t="shared" si="2"/>
        <v>500</v>
      </c>
      <c r="M4" s="10">
        <f>$Q$4*MAX(F4-G4*$Q$1)*$Q$3</f>
        <v>1324</v>
      </c>
      <c r="N4" s="10">
        <f>SUM(J4:M4)</f>
        <v>2865</v>
      </c>
      <c r="P4" t="s">
        <v>30</v>
      </c>
      <c r="Q4">
        <v>0.5</v>
      </c>
    </row>
    <row r="5" spans="1:18" x14ac:dyDescent="0.4">
      <c r="A5">
        <v>1</v>
      </c>
      <c r="B5" s="6">
        <v>5</v>
      </c>
      <c r="C5" s="1" t="s">
        <v>46</v>
      </c>
      <c r="D5" s="1" t="s">
        <v>50</v>
      </c>
      <c r="E5">
        <v>177</v>
      </c>
      <c r="F5">
        <v>126</v>
      </c>
      <c r="G5">
        <v>147</v>
      </c>
      <c r="H5">
        <v>29.4</v>
      </c>
      <c r="I5">
        <v>4.3</v>
      </c>
      <c r="J5" s="10">
        <f>$Q$6*E5</f>
        <v>531</v>
      </c>
      <c r="K5" s="10">
        <f t="shared" si="1"/>
        <v>0</v>
      </c>
      <c r="L5" s="10">
        <f t="shared" si="2"/>
        <v>500</v>
      </c>
      <c r="M5" s="10">
        <f>$Q$4*MAX(F5-G5*$Q$1)*$Q$3</f>
        <v>644</v>
      </c>
      <c r="N5" s="10">
        <f t="shared" si="4"/>
        <v>1675</v>
      </c>
      <c r="P5" t="s">
        <v>31</v>
      </c>
      <c r="Q5">
        <v>500</v>
      </c>
      <c r="R5" t="s">
        <v>32</v>
      </c>
    </row>
    <row r="6" spans="1:18" x14ac:dyDescent="0.4">
      <c r="A6">
        <v>1</v>
      </c>
      <c r="B6" s="6">
        <v>6</v>
      </c>
      <c r="C6" s="1" t="s">
        <v>46</v>
      </c>
      <c r="D6" s="1" t="s">
        <v>51</v>
      </c>
      <c r="E6">
        <v>325</v>
      </c>
      <c r="F6">
        <v>205</v>
      </c>
      <c r="G6">
        <v>197</v>
      </c>
      <c r="H6">
        <v>39.4</v>
      </c>
      <c r="I6">
        <v>5.2</v>
      </c>
      <c r="J6" s="10">
        <f t="shared" si="0"/>
        <v>975</v>
      </c>
      <c r="K6" s="10">
        <f t="shared" si="1"/>
        <v>0</v>
      </c>
      <c r="L6" s="10">
        <f t="shared" si="2"/>
        <v>500</v>
      </c>
      <c r="M6" s="10">
        <f t="shared" si="3"/>
        <v>1104</v>
      </c>
      <c r="N6" s="10">
        <f t="shared" si="4"/>
        <v>2579</v>
      </c>
      <c r="P6" t="s">
        <v>62</v>
      </c>
      <c r="Q6">
        <v>3</v>
      </c>
      <c r="R6" t="s">
        <v>32</v>
      </c>
    </row>
    <row r="7" spans="1:18" x14ac:dyDescent="0.4">
      <c r="A7">
        <v>1</v>
      </c>
      <c r="B7" s="6">
        <v>7</v>
      </c>
      <c r="C7" s="1" t="s">
        <v>46</v>
      </c>
      <c r="D7" s="1" t="s">
        <v>52</v>
      </c>
      <c r="E7">
        <v>415</v>
      </c>
      <c r="F7">
        <v>263</v>
      </c>
      <c r="G7">
        <v>227</v>
      </c>
      <c r="H7">
        <v>45.4</v>
      </c>
      <c r="I7">
        <v>5.8</v>
      </c>
      <c r="J7" s="10">
        <f t="shared" si="0"/>
        <v>1245</v>
      </c>
      <c r="K7" s="10">
        <f t="shared" si="1"/>
        <v>0</v>
      </c>
      <c r="L7" s="10">
        <f t="shared" si="2"/>
        <v>500</v>
      </c>
      <c r="M7" s="10">
        <f t="shared" si="3"/>
        <v>1450.6666666666667</v>
      </c>
      <c r="N7" s="10">
        <f t="shared" si="4"/>
        <v>3195.666666666667</v>
      </c>
    </row>
    <row r="8" spans="1:18" x14ac:dyDescent="0.4">
      <c r="A8">
        <v>1</v>
      </c>
      <c r="B8" s="6">
        <v>8</v>
      </c>
      <c r="C8" s="1" t="s">
        <v>46</v>
      </c>
      <c r="D8" s="1" t="s">
        <v>55</v>
      </c>
      <c r="E8">
        <v>160</v>
      </c>
      <c r="F8">
        <v>246</v>
      </c>
      <c r="G8">
        <v>144</v>
      </c>
      <c r="H8">
        <v>28.8</v>
      </c>
      <c r="I8">
        <v>8.5</v>
      </c>
      <c r="J8" s="10">
        <f t="shared" si="0"/>
        <v>480</v>
      </c>
      <c r="K8" s="10">
        <f t="shared" si="1"/>
        <v>250</v>
      </c>
      <c r="L8" s="10">
        <f t="shared" si="2"/>
        <v>500</v>
      </c>
      <c r="M8" s="10">
        <f t="shared" si="3"/>
        <v>1448</v>
      </c>
      <c r="N8" s="10">
        <f t="shared" si="4"/>
        <v>2678</v>
      </c>
    </row>
    <row r="9" spans="1:18" x14ac:dyDescent="0.4">
      <c r="A9">
        <v>1</v>
      </c>
      <c r="B9" s="6">
        <v>9</v>
      </c>
      <c r="C9" s="1" t="s">
        <v>46</v>
      </c>
      <c r="D9" s="1" t="s">
        <v>54</v>
      </c>
      <c r="E9">
        <v>326</v>
      </c>
      <c r="F9">
        <v>230</v>
      </c>
      <c r="G9">
        <v>219</v>
      </c>
      <c r="H9">
        <v>43.8</v>
      </c>
      <c r="I9">
        <v>5.3</v>
      </c>
      <c r="J9" s="10">
        <f t="shared" si="0"/>
        <v>978</v>
      </c>
      <c r="K9" s="10">
        <f t="shared" si="1"/>
        <v>0</v>
      </c>
      <c r="L9" s="10">
        <f t="shared" si="2"/>
        <v>500</v>
      </c>
      <c r="M9" s="10">
        <f>$Q$4*MAX(F9-G9*$Q$1)*$Q$3</f>
        <v>1241.3333333333333</v>
      </c>
      <c r="N9" s="10">
        <f t="shared" si="4"/>
        <v>2719.333333333333</v>
      </c>
    </row>
    <row r="10" spans="1:18" x14ac:dyDescent="0.4">
      <c r="A10">
        <v>1</v>
      </c>
      <c r="B10" s="6">
        <v>10</v>
      </c>
      <c r="C10" s="1" t="s">
        <v>46</v>
      </c>
      <c r="D10" s="1" t="s">
        <v>56</v>
      </c>
      <c r="E10">
        <v>70</v>
      </c>
      <c r="F10">
        <v>56</v>
      </c>
      <c r="G10">
        <v>47</v>
      </c>
      <c r="H10">
        <v>9.4</v>
      </c>
      <c r="I10">
        <v>6</v>
      </c>
      <c r="J10" s="10">
        <f t="shared" si="0"/>
        <v>210</v>
      </c>
      <c r="K10" s="10">
        <f t="shared" si="1"/>
        <v>0</v>
      </c>
      <c r="L10" s="10">
        <f t="shared" si="2"/>
        <v>500</v>
      </c>
      <c r="M10" s="10">
        <f t="shared" si="3"/>
        <v>310.66666666666669</v>
      </c>
      <c r="N10" s="10">
        <f t="shared" si="4"/>
        <v>1020.6666666666667</v>
      </c>
    </row>
    <row r="11" spans="1:18" x14ac:dyDescent="0.4">
      <c r="A11">
        <v>2</v>
      </c>
      <c r="B11" s="6">
        <v>3</v>
      </c>
      <c r="C11" s="2" t="s">
        <v>47</v>
      </c>
      <c r="D11" s="2" t="s">
        <v>48</v>
      </c>
      <c r="E11">
        <v>211</v>
      </c>
      <c r="F11">
        <v>173</v>
      </c>
      <c r="G11">
        <v>131</v>
      </c>
      <c r="H11">
        <v>26.2</v>
      </c>
      <c r="I11">
        <v>6.6</v>
      </c>
      <c r="J11" s="10">
        <f t="shared" si="0"/>
        <v>633</v>
      </c>
      <c r="K11" s="10">
        <f t="shared" si="1"/>
        <v>0</v>
      </c>
      <c r="L11" s="10">
        <f t="shared" si="2"/>
        <v>500</v>
      </c>
      <c r="M11" s="10">
        <f t="shared" si="3"/>
        <v>978.66666666666674</v>
      </c>
      <c r="N11" s="10">
        <f t="shared" si="4"/>
        <v>2111.666666666667</v>
      </c>
    </row>
    <row r="12" spans="1:18" x14ac:dyDescent="0.4">
      <c r="A12">
        <v>2</v>
      </c>
      <c r="B12" s="6">
        <v>4</v>
      </c>
      <c r="C12" s="2" t="s">
        <v>47</v>
      </c>
      <c r="D12" s="1" t="s">
        <v>49</v>
      </c>
      <c r="E12">
        <v>137</v>
      </c>
      <c r="F12">
        <v>103</v>
      </c>
      <c r="G12">
        <v>110</v>
      </c>
      <c r="H12">
        <v>22</v>
      </c>
      <c r="I12">
        <v>4.7</v>
      </c>
      <c r="J12" s="10">
        <f t="shared" si="0"/>
        <v>411</v>
      </c>
      <c r="K12" s="10">
        <f t="shared" si="1"/>
        <v>0</v>
      </c>
      <c r="L12" s="10">
        <f t="shared" si="2"/>
        <v>500</v>
      </c>
      <c r="M12" s="10">
        <f t="shared" si="3"/>
        <v>540</v>
      </c>
      <c r="N12" s="10">
        <f t="shared" si="4"/>
        <v>1451</v>
      </c>
    </row>
    <row r="13" spans="1:18" x14ac:dyDescent="0.4">
      <c r="A13">
        <v>2</v>
      </c>
      <c r="B13" s="6">
        <v>5</v>
      </c>
      <c r="C13" s="2" t="s">
        <v>47</v>
      </c>
      <c r="D13" s="1" t="s">
        <v>50</v>
      </c>
      <c r="E13">
        <v>106</v>
      </c>
      <c r="F13">
        <v>89</v>
      </c>
      <c r="G13">
        <v>80</v>
      </c>
      <c r="H13">
        <v>16</v>
      </c>
      <c r="I13">
        <v>5.6</v>
      </c>
      <c r="J13" s="10">
        <f t="shared" si="0"/>
        <v>318</v>
      </c>
      <c r="K13" s="10">
        <f t="shared" si="1"/>
        <v>0</v>
      </c>
      <c r="L13" s="10">
        <f t="shared" si="2"/>
        <v>500</v>
      </c>
      <c r="M13" s="10">
        <f t="shared" si="3"/>
        <v>486.66666666666669</v>
      </c>
      <c r="N13" s="10">
        <f t="shared" si="4"/>
        <v>1304.6666666666667</v>
      </c>
    </row>
    <row r="14" spans="1:18" x14ac:dyDescent="0.4">
      <c r="A14">
        <v>2</v>
      </c>
      <c r="B14" s="6">
        <v>6</v>
      </c>
      <c r="C14" s="2" t="s">
        <v>47</v>
      </c>
      <c r="D14" s="1" t="s">
        <v>51</v>
      </c>
      <c r="E14">
        <v>137</v>
      </c>
      <c r="F14">
        <v>100</v>
      </c>
      <c r="G14">
        <v>98</v>
      </c>
      <c r="H14">
        <v>19.600000000000001</v>
      </c>
      <c r="I14">
        <v>5.0999999999999996</v>
      </c>
      <c r="J14" s="10">
        <f t="shared" si="0"/>
        <v>411</v>
      </c>
      <c r="K14" s="10">
        <f t="shared" si="1"/>
        <v>0</v>
      </c>
      <c r="L14" s="10">
        <f t="shared" si="2"/>
        <v>500</v>
      </c>
      <c r="M14" s="10">
        <f t="shared" si="3"/>
        <v>536.00000000000011</v>
      </c>
      <c r="N14" s="10">
        <f t="shared" si="4"/>
        <v>1447</v>
      </c>
    </row>
    <row r="15" spans="1:18" x14ac:dyDescent="0.4">
      <c r="A15">
        <v>2</v>
      </c>
      <c r="B15" s="6">
        <v>7</v>
      </c>
      <c r="C15" s="2" t="s">
        <v>47</v>
      </c>
      <c r="D15" s="9" t="s">
        <v>52</v>
      </c>
      <c r="E15">
        <v>205</v>
      </c>
      <c r="F15">
        <v>138</v>
      </c>
      <c r="G15">
        <v>151</v>
      </c>
      <c r="H15">
        <v>30.2</v>
      </c>
      <c r="I15">
        <v>4.5999999999999996</v>
      </c>
      <c r="J15" s="10">
        <f t="shared" si="0"/>
        <v>615</v>
      </c>
      <c r="K15" s="10">
        <f t="shared" si="1"/>
        <v>0</v>
      </c>
      <c r="L15" s="10">
        <f t="shared" si="2"/>
        <v>500</v>
      </c>
      <c r="M15" s="10">
        <f t="shared" si="3"/>
        <v>718.66666666666663</v>
      </c>
      <c r="N15" s="10">
        <f t="shared" si="4"/>
        <v>1833.6666666666665</v>
      </c>
    </row>
    <row r="16" spans="1:18" x14ac:dyDescent="0.4">
      <c r="A16">
        <v>2</v>
      </c>
      <c r="B16" s="6">
        <v>8</v>
      </c>
      <c r="C16" s="2" t="s">
        <v>47</v>
      </c>
      <c r="D16" s="1" t="s">
        <v>55</v>
      </c>
      <c r="E16">
        <v>426</v>
      </c>
      <c r="F16">
        <v>429</v>
      </c>
      <c r="G16">
        <v>359</v>
      </c>
      <c r="H16">
        <v>71.8</v>
      </c>
      <c r="I16">
        <v>6</v>
      </c>
      <c r="J16" s="10">
        <f t="shared" si="0"/>
        <v>1278</v>
      </c>
      <c r="K16" s="10">
        <f t="shared" si="1"/>
        <v>250</v>
      </c>
      <c r="L16" s="10">
        <f t="shared" si="2"/>
        <v>500</v>
      </c>
      <c r="M16" s="10">
        <f t="shared" si="3"/>
        <v>2381.3333333333335</v>
      </c>
      <c r="N16" s="10">
        <f t="shared" si="4"/>
        <v>4409.3333333333339</v>
      </c>
    </row>
    <row r="17" spans="1:14" x14ac:dyDescent="0.4">
      <c r="A17">
        <v>2</v>
      </c>
      <c r="B17" s="6">
        <v>9</v>
      </c>
      <c r="C17" s="2" t="s">
        <v>47</v>
      </c>
      <c r="D17" s="1" t="s">
        <v>54</v>
      </c>
      <c r="E17">
        <v>89</v>
      </c>
      <c r="F17">
        <v>87</v>
      </c>
      <c r="G17">
        <v>76</v>
      </c>
      <c r="H17">
        <v>15.2</v>
      </c>
      <c r="I17">
        <v>5.7</v>
      </c>
      <c r="J17" s="10">
        <f t="shared" si="0"/>
        <v>267</v>
      </c>
      <c r="K17" s="10">
        <f t="shared" si="1"/>
        <v>0</v>
      </c>
      <c r="L17" s="10">
        <f t="shared" si="2"/>
        <v>500</v>
      </c>
      <c r="M17" s="10">
        <f t="shared" si="3"/>
        <v>478.66666666666669</v>
      </c>
      <c r="N17" s="10">
        <f t="shared" si="4"/>
        <v>1245.6666666666667</v>
      </c>
    </row>
    <row r="18" spans="1:14" x14ac:dyDescent="0.4">
      <c r="A18">
        <v>2</v>
      </c>
      <c r="B18" s="6">
        <v>10</v>
      </c>
      <c r="C18" s="2" t="s">
        <v>47</v>
      </c>
      <c r="D18" s="1" t="s">
        <v>56</v>
      </c>
      <c r="E18">
        <v>305</v>
      </c>
      <c r="F18">
        <v>218</v>
      </c>
      <c r="G18">
        <v>217</v>
      </c>
      <c r="H18">
        <v>43.4</v>
      </c>
      <c r="I18">
        <v>5</v>
      </c>
      <c r="J18" s="10">
        <f t="shared" si="0"/>
        <v>915</v>
      </c>
      <c r="K18" s="10">
        <f t="shared" si="1"/>
        <v>0</v>
      </c>
      <c r="L18" s="10">
        <f t="shared" si="2"/>
        <v>500</v>
      </c>
      <c r="M18" s="10">
        <f t="shared" si="3"/>
        <v>1164</v>
      </c>
      <c r="N18" s="10">
        <f t="shared" si="4"/>
        <v>2579</v>
      </c>
    </row>
    <row r="19" spans="1:14" x14ac:dyDescent="0.4">
      <c r="A19">
        <v>3</v>
      </c>
      <c r="B19" s="6">
        <v>4</v>
      </c>
      <c r="C19" s="2" t="s">
        <v>48</v>
      </c>
      <c r="D19" s="1" t="s">
        <v>49</v>
      </c>
      <c r="E19">
        <v>291</v>
      </c>
      <c r="F19">
        <v>215</v>
      </c>
      <c r="G19">
        <v>77</v>
      </c>
      <c r="H19">
        <v>15.4</v>
      </c>
      <c r="I19">
        <v>14</v>
      </c>
      <c r="J19" s="10">
        <f t="shared" si="0"/>
        <v>873</v>
      </c>
      <c r="K19" s="10">
        <f t="shared" si="1"/>
        <v>0</v>
      </c>
      <c r="L19" s="10">
        <f t="shared" si="2"/>
        <v>500</v>
      </c>
      <c r="M19" s="10">
        <f t="shared" si="3"/>
        <v>1330.6666666666667</v>
      </c>
      <c r="N19" s="10">
        <f t="shared" si="4"/>
        <v>2703.666666666667</v>
      </c>
    </row>
    <row r="20" spans="1:14" x14ac:dyDescent="0.4">
      <c r="A20">
        <v>3</v>
      </c>
      <c r="B20" s="6">
        <v>5</v>
      </c>
      <c r="C20" s="2" t="s">
        <v>48</v>
      </c>
      <c r="D20" s="1" t="s">
        <v>50</v>
      </c>
      <c r="E20">
        <v>121</v>
      </c>
      <c r="F20">
        <v>113</v>
      </c>
      <c r="G20">
        <v>63</v>
      </c>
      <c r="H20">
        <v>12.6</v>
      </c>
      <c r="I20">
        <v>9</v>
      </c>
      <c r="J20" s="10">
        <f t="shared" si="0"/>
        <v>363</v>
      </c>
      <c r="K20" s="10">
        <f t="shared" si="1"/>
        <v>0</v>
      </c>
      <c r="L20" s="10">
        <f t="shared" si="2"/>
        <v>500</v>
      </c>
      <c r="M20" s="10">
        <f t="shared" si="3"/>
        <v>669.33333333333337</v>
      </c>
      <c r="N20" s="10">
        <f t="shared" si="4"/>
        <v>1532.3333333333335</v>
      </c>
    </row>
    <row r="21" spans="1:14" x14ac:dyDescent="0.4">
      <c r="A21">
        <v>3</v>
      </c>
      <c r="B21" s="6">
        <v>6</v>
      </c>
      <c r="C21" s="2" t="s">
        <v>48</v>
      </c>
      <c r="D21" s="1" t="s">
        <v>51</v>
      </c>
      <c r="E21">
        <v>269</v>
      </c>
      <c r="F21">
        <v>192</v>
      </c>
      <c r="G21">
        <v>126</v>
      </c>
      <c r="H21">
        <v>25.2</v>
      </c>
      <c r="I21">
        <v>7.6</v>
      </c>
      <c r="J21" s="10">
        <f t="shared" si="0"/>
        <v>807</v>
      </c>
      <c r="K21" s="10">
        <f t="shared" si="1"/>
        <v>0</v>
      </c>
      <c r="L21" s="10">
        <f t="shared" si="2"/>
        <v>500</v>
      </c>
      <c r="M21" s="10">
        <f t="shared" si="3"/>
        <v>1112.0000000000002</v>
      </c>
      <c r="N21" s="10">
        <f t="shared" si="4"/>
        <v>2419</v>
      </c>
    </row>
    <row r="22" spans="1:14" x14ac:dyDescent="0.4">
      <c r="A22">
        <v>3</v>
      </c>
      <c r="B22" s="6">
        <v>7</v>
      </c>
      <c r="C22" s="2" t="s">
        <v>48</v>
      </c>
      <c r="D22" s="9" t="s">
        <v>52</v>
      </c>
      <c r="E22">
        <v>359</v>
      </c>
      <c r="F22">
        <v>250</v>
      </c>
      <c r="G22">
        <v>167</v>
      </c>
      <c r="H22">
        <v>33.4</v>
      </c>
      <c r="I22">
        <v>7.5</v>
      </c>
      <c r="J22" s="10">
        <f t="shared" si="0"/>
        <v>1077</v>
      </c>
      <c r="K22" s="10">
        <f t="shared" si="1"/>
        <v>0</v>
      </c>
      <c r="L22" s="10">
        <f t="shared" si="2"/>
        <v>500</v>
      </c>
      <c r="M22" s="10">
        <f t="shared" si="3"/>
        <v>1444</v>
      </c>
      <c r="N22" s="10">
        <f t="shared" si="4"/>
        <v>3021</v>
      </c>
    </row>
    <row r="23" spans="1:14" x14ac:dyDescent="0.4">
      <c r="A23">
        <v>3</v>
      </c>
      <c r="B23" s="6">
        <v>8</v>
      </c>
      <c r="C23" s="2" t="s">
        <v>48</v>
      </c>
      <c r="D23" s="1" t="s">
        <v>55</v>
      </c>
      <c r="E23">
        <v>259</v>
      </c>
      <c r="F23">
        <v>324</v>
      </c>
      <c r="G23">
        <v>230</v>
      </c>
      <c r="H23">
        <v>46</v>
      </c>
      <c r="I23">
        <v>7</v>
      </c>
      <c r="J23" s="10">
        <f t="shared" si="0"/>
        <v>777</v>
      </c>
      <c r="K23" s="10">
        <f t="shared" si="1"/>
        <v>250</v>
      </c>
      <c r="L23" s="10">
        <f t="shared" si="2"/>
        <v>500</v>
      </c>
      <c r="M23" s="10">
        <f t="shared" si="3"/>
        <v>1853.3333333333335</v>
      </c>
      <c r="N23" s="10">
        <f t="shared" si="4"/>
        <v>3380.3333333333335</v>
      </c>
    </row>
    <row r="24" spans="1:14" x14ac:dyDescent="0.4">
      <c r="A24">
        <v>3</v>
      </c>
      <c r="B24" s="6">
        <v>9</v>
      </c>
      <c r="C24" s="2" t="s">
        <v>48</v>
      </c>
      <c r="D24" s="1" t="s">
        <v>54</v>
      </c>
      <c r="E24">
        <v>270</v>
      </c>
      <c r="F24">
        <v>217</v>
      </c>
      <c r="G24">
        <v>138</v>
      </c>
      <c r="H24">
        <v>27.6</v>
      </c>
      <c r="I24">
        <v>7.9</v>
      </c>
      <c r="J24" s="10">
        <f t="shared" si="0"/>
        <v>810</v>
      </c>
      <c r="K24" s="10">
        <f t="shared" si="1"/>
        <v>0</v>
      </c>
      <c r="L24" s="10">
        <f t="shared" si="2"/>
        <v>500</v>
      </c>
      <c r="M24" s="10">
        <f t="shared" si="3"/>
        <v>1262.6666666666667</v>
      </c>
      <c r="N24" s="10">
        <f t="shared" si="4"/>
        <v>2572.666666666667</v>
      </c>
    </row>
    <row r="25" spans="1:14" x14ac:dyDescent="0.4">
      <c r="A25">
        <v>3</v>
      </c>
      <c r="B25" s="6">
        <v>10</v>
      </c>
      <c r="C25" s="2" t="s">
        <v>48</v>
      </c>
      <c r="D25" s="1" t="s">
        <v>56</v>
      </c>
      <c r="E25">
        <v>131</v>
      </c>
      <c r="F25">
        <v>108</v>
      </c>
      <c r="G25">
        <v>92</v>
      </c>
      <c r="H25">
        <v>18.399999999999999</v>
      </c>
      <c r="I25">
        <v>5.9</v>
      </c>
      <c r="J25" s="10">
        <f t="shared" si="0"/>
        <v>393</v>
      </c>
      <c r="K25" s="10">
        <f t="shared" si="1"/>
        <v>0</v>
      </c>
      <c r="L25" s="10">
        <f t="shared" si="2"/>
        <v>500</v>
      </c>
      <c r="M25" s="10">
        <f t="shared" si="3"/>
        <v>597.33333333333337</v>
      </c>
      <c r="N25" s="10">
        <f t="shared" si="4"/>
        <v>1490.3333333333335</v>
      </c>
    </row>
    <row r="26" spans="1:14" x14ac:dyDescent="0.4">
      <c r="A26">
        <v>4</v>
      </c>
      <c r="B26" s="6">
        <v>5</v>
      </c>
      <c r="C26" s="1" t="s">
        <v>49</v>
      </c>
      <c r="D26" s="1" t="s">
        <v>50</v>
      </c>
      <c r="E26">
        <v>187</v>
      </c>
      <c r="F26">
        <v>130</v>
      </c>
      <c r="G26">
        <v>93</v>
      </c>
      <c r="H26">
        <v>18.600000000000001</v>
      </c>
      <c r="I26">
        <v>7</v>
      </c>
      <c r="J26" s="10">
        <f t="shared" si="0"/>
        <v>561</v>
      </c>
      <c r="K26" s="10">
        <f t="shared" si="1"/>
        <v>0</v>
      </c>
      <c r="L26" s="10">
        <f t="shared" si="2"/>
        <v>500</v>
      </c>
      <c r="M26" s="10">
        <f t="shared" si="3"/>
        <v>742.66666666666674</v>
      </c>
      <c r="N26" s="10">
        <f t="shared" si="4"/>
        <v>1803.6666666666667</v>
      </c>
    </row>
    <row r="27" spans="1:14" x14ac:dyDescent="0.4">
      <c r="A27">
        <v>4</v>
      </c>
      <c r="B27" s="6">
        <v>6</v>
      </c>
      <c r="C27" s="1" t="s">
        <v>49</v>
      </c>
      <c r="D27" s="1" t="s">
        <v>51</v>
      </c>
      <c r="E27">
        <v>233</v>
      </c>
      <c r="F27">
        <v>149</v>
      </c>
      <c r="G27">
        <v>161</v>
      </c>
      <c r="H27">
        <v>32.200000000000003</v>
      </c>
      <c r="I27">
        <v>4.5999999999999996</v>
      </c>
      <c r="J27" s="10">
        <f t="shared" si="0"/>
        <v>699</v>
      </c>
      <c r="K27" s="10">
        <f t="shared" si="1"/>
        <v>0</v>
      </c>
      <c r="L27" s="10">
        <f t="shared" si="2"/>
        <v>500</v>
      </c>
      <c r="M27" s="10">
        <f t="shared" si="3"/>
        <v>778.66666666666663</v>
      </c>
      <c r="N27" s="10">
        <f t="shared" si="4"/>
        <v>1977.6666666666665</v>
      </c>
    </row>
    <row r="28" spans="1:14" x14ac:dyDescent="0.4">
      <c r="A28">
        <v>4</v>
      </c>
      <c r="B28" s="6">
        <v>7</v>
      </c>
      <c r="C28" s="1" t="s">
        <v>49</v>
      </c>
      <c r="D28" s="9" t="s">
        <v>52</v>
      </c>
      <c r="E28">
        <v>126</v>
      </c>
      <c r="F28">
        <v>93</v>
      </c>
      <c r="G28">
        <v>90</v>
      </c>
      <c r="H28">
        <v>18</v>
      </c>
      <c r="I28">
        <v>5.2</v>
      </c>
      <c r="J28" s="10">
        <f t="shared" si="0"/>
        <v>378</v>
      </c>
      <c r="K28" s="10">
        <f t="shared" si="1"/>
        <v>0</v>
      </c>
      <c r="L28" s="10">
        <f t="shared" si="2"/>
        <v>500</v>
      </c>
      <c r="M28" s="10">
        <f t="shared" si="3"/>
        <v>500</v>
      </c>
      <c r="N28" s="10">
        <f t="shared" si="4"/>
        <v>1378</v>
      </c>
    </row>
    <row r="29" spans="1:14" x14ac:dyDescent="0.4">
      <c r="A29">
        <v>4</v>
      </c>
      <c r="B29" s="6">
        <v>8</v>
      </c>
      <c r="C29" s="1" t="s">
        <v>49</v>
      </c>
      <c r="D29" s="1" t="s">
        <v>55</v>
      </c>
      <c r="E29">
        <v>507</v>
      </c>
      <c r="F29">
        <v>470</v>
      </c>
      <c r="G29">
        <v>290</v>
      </c>
      <c r="H29">
        <v>58</v>
      </c>
      <c r="I29">
        <v>8.1</v>
      </c>
      <c r="J29" s="10">
        <f t="shared" si="0"/>
        <v>1521</v>
      </c>
      <c r="K29" s="10">
        <f t="shared" si="1"/>
        <v>250</v>
      </c>
      <c r="L29" s="10">
        <f t="shared" si="2"/>
        <v>500</v>
      </c>
      <c r="M29" s="10">
        <f t="shared" si="3"/>
        <v>2746.666666666667</v>
      </c>
      <c r="N29" s="10">
        <f t="shared" si="4"/>
        <v>5017.666666666667</v>
      </c>
    </row>
    <row r="30" spans="1:14" x14ac:dyDescent="0.4">
      <c r="A30">
        <v>4</v>
      </c>
      <c r="B30" s="6">
        <v>9</v>
      </c>
      <c r="C30" s="1" t="s">
        <v>49</v>
      </c>
      <c r="D30" s="1" t="s">
        <v>54</v>
      </c>
      <c r="E30">
        <v>99</v>
      </c>
      <c r="F30">
        <v>87</v>
      </c>
      <c r="G30">
        <v>75</v>
      </c>
      <c r="H30">
        <v>15</v>
      </c>
      <c r="I30">
        <v>5.8</v>
      </c>
      <c r="J30" s="10">
        <f t="shared" si="0"/>
        <v>297</v>
      </c>
      <c r="K30" s="10">
        <f t="shared" si="1"/>
        <v>0</v>
      </c>
      <c r="L30" s="10">
        <f t="shared" si="2"/>
        <v>500</v>
      </c>
      <c r="M30" s="10">
        <f t="shared" si="3"/>
        <v>480</v>
      </c>
      <c r="N30" s="10">
        <f t="shared" si="4"/>
        <v>1277</v>
      </c>
    </row>
    <row r="31" spans="1:14" x14ac:dyDescent="0.4">
      <c r="A31">
        <v>4</v>
      </c>
      <c r="B31" s="6">
        <v>10</v>
      </c>
      <c r="C31" s="1" t="s">
        <v>49</v>
      </c>
      <c r="D31" s="1" t="s">
        <v>56</v>
      </c>
      <c r="E31">
        <v>387</v>
      </c>
      <c r="F31">
        <v>259</v>
      </c>
      <c r="G31">
        <v>125</v>
      </c>
      <c r="H31">
        <v>25</v>
      </c>
      <c r="I31">
        <v>10.4</v>
      </c>
      <c r="J31" s="10">
        <f t="shared" si="0"/>
        <v>1161</v>
      </c>
      <c r="K31" s="10">
        <f t="shared" si="1"/>
        <v>0</v>
      </c>
      <c r="L31" s="10">
        <f t="shared" si="2"/>
        <v>500</v>
      </c>
      <c r="M31" s="10">
        <f t="shared" si="3"/>
        <v>1560</v>
      </c>
      <c r="N31" s="10">
        <f t="shared" si="4"/>
        <v>3221</v>
      </c>
    </row>
    <row r="32" spans="1:14" x14ac:dyDescent="0.4">
      <c r="A32">
        <v>5</v>
      </c>
      <c r="B32" s="6">
        <v>6</v>
      </c>
      <c r="C32" s="1" t="s">
        <v>50</v>
      </c>
      <c r="D32" s="1" t="s">
        <v>51</v>
      </c>
      <c r="E32">
        <v>164</v>
      </c>
      <c r="F32">
        <v>110</v>
      </c>
      <c r="G32">
        <v>70</v>
      </c>
      <c r="H32">
        <v>14</v>
      </c>
      <c r="I32">
        <v>7.9</v>
      </c>
      <c r="J32" s="10">
        <f t="shared" si="0"/>
        <v>492</v>
      </c>
      <c r="K32" s="10">
        <f t="shared" si="1"/>
        <v>0</v>
      </c>
      <c r="L32" s="10">
        <f t="shared" si="2"/>
        <v>500</v>
      </c>
      <c r="M32" s="10">
        <f t="shared" si="3"/>
        <v>640</v>
      </c>
      <c r="N32" s="10">
        <f t="shared" si="4"/>
        <v>1632</v>
      </c>
    </row>
    <row r="33" spans="1:14" x14ac:dyDescent="0.4">
      <c r="A33" s="8">
        <v>5</v>
      </c>
      <c r="B33" s="6">
        <v>7</v>
      </c>
      <c r="C33" s="1" t="s">
        <v>50</v>
      </c>
      <c r="D33" s="9" t="s">
        <v>52</v>
      </c>
      <c r="E33">
        <v>254</v>
      </c>
      <c r="F33">
        <v>168</v>
      </c>
      <c r="G33">
        <v>173</v>
      </c>
      <c r="H33">
        <v>34.6</v>
      </c>
      <c r="I33">
        <v>4.9000000000000004</v>
      </c>
      <c r="J33" s="10">
        <f t="shared" si="0"/>
        <v>762</v>
      </c>
      <c r="K33" s="10">
        <f t="shared" si="1"/>
        <v>0</v>
      </c>
      <c r="L33" s="10">
        <f t="shared" si="2"/>
        <v>500</v>
      </c>
      <c r="M33" s="10">
        <f t="shared" si="3"/>
        <v>889.33333333333337</v>
      </c>
      <c r="N33" s="10">
        <f t="shared" si="4"/>
        <v>2151.3333333333335</v>
      </c>
    </row>
    <row r="34" spans="1:14" x14ac:dyDescent="0.4">
      <c r="A34">
        <v>5</v>
      </c>
      <c r="B34" s="6">
        <v>8</v>
      </c>
      <c r="C34" s="1" t="s">
        <v>50</v>
      </c>
      <c r="D34" s="1" t="s">
        <v>55</v>
      </c>
      <c r="E34">
        <v>337</v>
      </c>
      <c r="F34">
        <v>369</v>
      </c>
      <c r="G34">
        <v>281</v>
      </c>
      <c r="H34">
        <v>56.2</v>
      </c>
      <c r="I34">
        <v>6.6</v>
      </c>
      <c r="J34" s="10">
        <f t="shared" si="0"/>
        <v>1011</v>
      </c>
      <c r="K34" s="10">
        <f t="shared" si="1"/>
        <v>250</v>
      </c>
      <c r="L34" s="10">
        <f t="shared" si="2"/>
        <v>500</v>
      </c>
      <c r="M34" s="10">
        <f t="shared" si="3"/>
        <v>2085.3333333333335</v>
      </c>
      <c r="N34" s="10">
        <f t="shared" si="4"/>
        <v>3846.3333333333335</v>
      </c>
    </row>
    <row r="35" spans="1:14" x14ac:dyDescent="0.4">
      <c r="A35">
        <v>5</v>
      </c>
      <c r="B35" s="6">
        <v>9</v>
      </c>
      <c r="C35" s="1" t="s">
        <v>50</v>
      </c>
      <c r="D35" s="1" t="s">
        <v>54</v>
      </c>
      <c r="E35">
        <v>165</v>
      </c>
      <c r="F35">
        <v>136</v>
      </c>
      <c r="G35">
        <v>118</v>
      </c>
      <c r="H35">
        <v>23.6</v>
      </c>
      <c r="I35">
        <v>5.8</v>
      </c>
      <c r="J35" s="10">
        <f t="shared" si="0"/>
        <v>495</v>
      </c>
      <c r="K35" s="10">
        <f t="shared" si="1"/>
        <v>0</v>
      </c>
      <c r="L35" s="10">
        <f t="shared" si="2"/>
        <v>500</v>
      </c>
      <c r="M35" s="10">
        <f t="shared" si="3"/>
        <v>749.33333333333337</v>
      </c>
      <c r="N35" s="10">
        <f t="shared" si="4"/>
        <v>1744.3333333333335</v>
      </c>
    </row>
    <row r="36" spans="1:14" x14ac:dyDescent="0.4">
      <c r="A36">
        <v>5</v>
      </c>
      <c r="B36" s="6">
        <v>10</v>
      </c>
      <c r="C36" s="1" t="s">
        <v>50</v>
      </c>
      <c r="D36" s="1" t="s">
        <v>56</v>
      </c>
      <c r="E36">
        <v>216</v>
      </c>
      <c r="F36">
        <v>158</v>
      </c>
      <c r="G36">
        <v>155</v>
      </c>
      <c r="H36">
        <v>31</v>
      </c>
      <c r="I36">
        <v>5.0999999999999996</v>
      </c>
      <c r="J36" s="10">
        <f t="shared" si="0"/>
        <v>648</v>
      </c>
      <c r="K36" s="10">
        <f t="shared" si="1"/>
        <v>0</v>
      </c>
      <c r="L36" s="10">
        <f t="shared" si="2"/>
        <v>500</v>
      </c>
      <c r="M36" s="10">
        <f t="shared" si="3"/>
        <v>846.66666666666674</v>
      </c>
      <c r="N36" s="10">
        <f t="shared" si="4"/>
        <v>1994.6666666666667</v>
      </c>
    </row>
    <row r="37" spans="1:14" x14ac:dyDescent="0.4">
      <c r="A37">
        <v>6</v>
      </c>
      <c r="B37" s="6">
        <v>7</v>
      </c>
      <c r="C37" s="1" t="s">
        <v>51</v>
      </c>
      <c r="D37" s="9" t="s">
        <v>52</v>
      </c>
      <c r="E37">
        <v>299</v>
      </c>
      <c r="F37">
        <v>185</v>
      </c>
      <c r="G37">
        <v>232</v>
      </c>
      <c r="H37">
        <v>46.4</v>
      </c>
      <c r="I37">
        <v>4</v>
      </c>
      <c r="J37" s="10">
        <f t="shared" si="0"/>
        <v>897</v>
      </c>
      <c r="K37" s="10">
        <f t="shared" si="1"/>
        <v>0</v>
      </c>
      <c r="L37" s="10">
        <f t="shared" si="2"/>
        <v>500</v>
      </c>
      <c r="M37" s="10">
        <f t="shared" si="3"/>
        <v>924</v>
      </c>
      <c r="N37" s="10">
        <f t="shared" si="4"/>
        <v>2321</v>
      </c>
    </row>
    <row r="38" spans="1:14" x14ac:dyDescent="0.4">
      <c r="A38">
        <v>6</v>
      </c>
      <c r="B38" s="6">
        <v>8</v>
      </c>
      <c r="C38" s="1" t="s">
        <v>51</v>
      </c>
      <c r="D38" s="1" t="s">
        <v>55</v>
      </c>
      <c r="E38">
        <v>484</v>
      </c>
      <c r="F38">
        <v>448</v>
      </c>
      <c r="G38">
        <v>315</v>
      </c>
      <c r="H38">
        <v>63</v>
      </c>
      <c r="I38">
        <v>7.1</v>
      </c>
      <c r="J38" s="10">
        <f t="shared" si="0"/>
        <v>1452</v>
      </c>
      <c r="K38" s="10">
        <f t="shared" si="1"/>
        <v>250</v>
      </c>
      <c r="L38" s="10">
        <f t="shared" si="2"/>
        <v>500</v>
      </c>
      <c r="M38" s="10">
        <f t="shared" si="3"/>
        <v>2566.666666666667</v>
      </c>
      <c r="N38" s="10">
        <f t="shared" si="4"/>
        <v>4768.666666666667</v>
      </c>
    </row>
    <row r="39" spans="1:14" x14ac:dyDescent="0.4">
      <c r="A39">
        <v>6</v>
      </c>
      <c r="B39" s="6">
        <v>9</v>
      </c>
      <c r="C39" s="1" t="s">
        <v>51</v>
      </c>
      <c r="D39" s="1" t="s">
        <v>54</v>
      </c>
      <c r="E39">
        <v>210</v>
      </c>
      <c r="F39">
        <v>153</v>
      </c>
      <c r="G39">
        <v>166</v>
      </c>
      <c r="H39">
        <v>33.200000000000003</v>
      </c>
      <c r="I39">
        <v>4.5999999999999996</v>
      </c>
      <c r="J39" s="10">
        <f t="shared" si="0"/>
        <v>630</v>
      </c>
      <c r="K39" s="10">
        <f t="shared" si="1"/>
        <v>0</v>
      </c>
      <c r="L39" s="10">
        <f t="shared" si="2"/>
        <v>500</v>
      </c>
      <c r="M39" s="10">
        <f t="shared" si="3"/>
        <v>798.66666666666663</v>
      </c>
      <c r="N39" s="10">
        <f t="shared" si="4"/>
        <v>1928.6666666666665</v>
      </c>
    </row>
    <row r="40" spans="1:14" x14ac:dyDescent="0.4">
      <c r="A40">
        <v>6</v>
      </c>
      <c r="B40" s="6">
        <v>10</v>
      </c>
      <c r="C40" s="1" t="s">
        <v>51</v>
      </c>
      <c r="D40" s="1" t="s">
        <v>56</v>
      </c>
      <c r="E40">
        <v>363</v>
      </c>
      <c r="F40">
        <v>237</v>
      </c>
      <c r="G40">
        <v>216</v>
      </c>
      <c r="H40">
        <v>43.2</v>
      </c>
      <c r="I40">
        <v>5.5</v>
      </c>
      <c r="J40" s="10">
        <f t="shared" si="0"/>
        <v>1089</v>
      </c>
      <c r="K40" s="10">
        <f t="shared" si="1"/>
        <v>0</v>
      </c>
      <c r="L40" s="10">
        <f t="shared" si="2"/>
        <v>500</v>
      </c>
      <c r="M40" s="10">
        <f t="shared" si="3"/>
        <v>1292.0000000000002</v>
      </c>
      <c r="N40" s="10">
        <f t="shared" si="4"/>
        <v>2881</v>
      </c>
    </row>
    <row r="41" spans="1:14" x14ac:dyDescent="0.4">
      <c r="A41">
        <v>7</v>
      </c>
      <c r="B41" s="6">
        <v>8</v>
      </c>
      <c r="C41" s="1" t="s">
        <v>52</v>
      </c>
      <c r="D41" s="1" t="s">
        <v>55</v>
      </c>
      <c r="E41">
        <v>575</v>
      </c>
      <c r="F41">
        <v>504</v>
      </c>
      <c r="G41">
        <v>365</v>
      </c>
      <c r="H41">
        <v>73</v>
      </c>
      <c r="I41">
        <v>6.9</v>
      </c>
      <c r="J41" s="10">
        <f t="shared" si="0"/>
        <v>1725</v>
      </c>
      <c r="K41" s="10">
        <f t="shared" si="1"/>
        <v>250</v>
      </c>
      <c r="L41" s="10">
        <f t="shared" si="2"/>
        <v>500</v>
      </c>
      <c r="M41" s="10">
        <f t="shared" si="3"/>
        <v>2873.3333333333335</v>
      </c>
      <c r="N41" s="10">
        <f>SUM(J41:M41)</f>
        <v>5348.3333333333339</v>
      </c>
    </row>
    <row r="42" spans="1:14" x14ac:dyDescent="0.4">
      <c r="A42">
        <v>7</v>
      </c>
      <c r="B42" s="6">
        <v>9</v>
      </c>
      <c r="C42" s="1" t="s">
        <v>52</v>
      </c>
      <c r="D42" s="1" t="s">
        <v>54</v>
      </c>
      <c r="E42">
        <v>84</v>
      </c>
      <c r="F42">
        <v>70</v>
      </c>
      <c r="G42">
        <v>75</v>
      </c>
      <c r="H42">
        <v>15</v>
      </c>
      <c r="I42">
        <v>4.7</v>
      </c>
      <c r="J42" s="10">
        <f t="shared" si="0"/>
        <v>252</v>
      </c>
      <c r="K42" s="10">
        <f t="shared" si="1"/>
        <v>0</v>
      </c>
      <c r="L42" s="10">
        <f t="shared" si="2"/>
        <v>500</v>
      </c>
      <c r="M42" s="10">
        <f t="shared" si="3"/>
        <v>366.66666666666669</v>
      </c>
      <c r="N42" s="10">
        <f t="shared" si="4"/>
        <v>1118.6666666666667</v>
      </c>
    </row>
    <row r="43" spans="1:14" x14ac:dyDescent="0.4">
      <c r="A43">
        <v>7</v>
      </c>
      <c r="B43" s="6">
        <v>10</v>
      </c>
      <c r="C43" s="1" t="s">
        <v>52</v>
      </c>
      <c r="D43" s="1" t="s">
        <v>56</v>
      </c>
      <c r="E43">
        <v>454</v>
      </c>
      <c r="F43">
        <v>293</v>
      </c>
      <c r="G43">
        <v>194</v>
      </c>
      <c r="H43">
        <v>38.799999999999997</v>
      </c>
      <c r="I43">
        <v>7.6</v>
      </c>
      <c r="J43" s="10">
        <f t="shared" si="0"/>
        <v>1362</v>
      </c>
      <c r="K43" s="10">
        <f t="shared" si="1"/>
        <v>0</v>
      </c>
      <c r="L43" s="10">
        <f t="shared" si="2"/>
        <v>500</v>
      </c>
      <c r="M43" s="10">
        <f t="shared" si="3"/>
        <v>1694.6666666666667</v>
      </c>
      <c r="N43" s="10">
        <f t="shared" si="4"/>
        <v>3556.666666666667</v>
      </c>
    </row>
    <row r="44" spans="1:14" x14ac:dyDescent="0.4">
      <c r="A44">
        <v>8</v>
      </c>
      <c r="B44" s="6">
        <v>9</v>
      </c>
      <c r="C44" s="1" t="s">
        <v>55</v>
      </c>
      <c r="D44" s="1" t="s">
        <v>54</v>
      </c>
      <c r="E44">
        <v>486</v>
      </c>
      <c r="F44">
        <v>474</v>
      </c>
      <c r="G44">
        <v>363</v>
      </c>
      <c r="H44">
        <v>72.599999999999994</v>
      </c>
      <c r="I44">
        <v>6.5</v>
      </c>
      <c r="J44" s="10">
        <f t="shared" si="0"/>
        <v>1458</v>
      </c>
      <c r="K44" s="10">
        <f t="shared" si="1"/>
        <v>250</v>
      </c>
      <c r="L44" s="10">
        <f t="shared" si="2"/>
        <v>500</v>
      </c>
      <c r="M44" s="10">
        <f t="shared" si="3"/>
        <v>2676</v>
      </c>
      <c r="N44" s="10">
        <f t="shared" si="4"/>
        <v>4884</v>
      </c>
    </row>
    <row r="45" spans="1:14" x14ac:dyDescent="0.4">
      <c r="A45">
        <v>8</v>
      </c>
      <c r="B45" s="6">
        <v>10</v>
      </c>
      <c r="C45" s="1" t="s">
        <v>55</v>
      </c>
      <c r="D45" s="1" t="s">
        <v>56</v>
      </c>
      <c r="E45">
        <v>230</v>
      </c>
      <c r="F45">
        <v>299</v>
      </c>
      <c r="G45">
        <v>172</v>
      </c>
      <c r="H45">
        <v>34.4</v>
      </c>
      <c r="I45">
        <v>8.6999999999999993</v>
      </c>
      <c r="J45" s="10">
        <f t="shared" si="0"/>
        <v>690</v>
      </c>
      <c r="K45" s="10">
        <f t="shared" si="1"/>
        <v>250</v>
      </c>
      <c r="L45" s="10">
        <f t="shared" si="2"/>
        <v>500</v>
      </c>
      <c r="M45" s="10">
        <f t="shared" si="3"/>
        <v>1764.0000000000002</v>
      </c>
      <c r="N45" s="10">
        <f t="shared" si="4"/>
        <v>3204</v>
      </c>
    </row>
    <row r="46" spans="1:14" x14ac:dyDescent="0.4">
      <c r="A46">
        <v>9</v>
      </c>
      <c r="B46" s="6">
        <v>10</v>
      </c>
      <c r="C46" s="1" t="s">
        <v>54</v>
      </c>
      <c r="D46" s="1" t="s">
        <v>56</v>
      </c>
      <c r="E46">
        <v>366</v>
      </c>
      <c r="F46">
        <v>264</v>
      </c>
      <c r="G46">
        <v>200</v>
      </c>
      <c r="H46">
        <v>40</v>
      </c>
      <c r="I46">
        <v>6.6</v>
      </c>
      <c r="J46" s="10">
        <f t="shared" si="0"/>
        <v>1098</v>
      </c>
      <c r="K46" s="10">
        <f t="shared" si="1"/>
        <v>0</v>
      </c>
      <c r="L46" s="10">
        <f t="shared" si="2"/>
        <v>500</v>
      </c>
      <c r="M46" s="10">
        <f t="shared" si="3"/>
        <v>1493.3333333333335</v>
      </c>
      <c r="N46" s="10">
        <f t="shared" si="4"/>
        <v>3091.3333333333335</v>
      </c>
    </row>
    <row r="47" spans="1:14" x14ac:dyDescent="0.4">
      <c r="A47">
        <v>1</v>
      </c>
      <c r="B47" s="6">
        <v>1</v>
      </c>
      <c r="C47" s="6"/>
      <c r="D47" s="6"/>
      <c r="E47">
        <v>0</v>
      </c>
      <c r="F47">
        <v>0</v>
      </c>
      <c r="G47">
        <v>0</v>
      </c>
      <c r="H47">
        <v>0</v>
      </c>
      <c r="I47">
        <v>0</v>
      </c>
      <c r="N47" s="10">
        <v>0</v>
      </c>
    </row>
    <row r="48" spans="1:14" x14ac:dyDescent="0.4">
      <c r="A48">
        <v>2</v>
      </c>
      <c r="B48" s="6">
        <v>2</v>
      </c>
      <c r="C48" s="6"/>
      <c r="D48" s="6"/>
      <c r="E48">
        <v>0</v>
      </c>
      <c r="F48">
        <v>0</v>
      </c>
      <c r="G48">
        <v>0</v>
      </c>
      <c r="H48">
        <v>0</v>
      </c>
      <c r="I48">
        <v>0</v>
      </c>
      <c r="N48" s="10">
        <v>0</v>
      </c>
    </row>
    <row r="49" spans="1:14" x14ac:dyDescent="0.4">
      <c r="A49">
        <v>3</v>
      </c>
      <c r="B49" s="6">
        <v>3</v>
      </c>
      <c r="C49" s="6"/>
      <c r="D49" s="6"/>
      <c r="E49">
        <v>0</v>
      </c>
      <c r="F49">
        <v>0</v>
      </c>
      <c r="G49">
        <v>0</v>
      </c>
      <c r="H49">
        <v>0</v>
      </c>
      <c r="I49">
        <v>0</v>
      </c>
      <c r="N49" s="10">
        <v>0</v>
      </c>
    </row>
    <row r="50" spans="1:14" x14ac:dyDescent="0.4">
      <c r="A50">
        <v>4</v>
      </c>
      <c r="B50" s="6">
        <v>4</v>
      </c>
      <c r="C50" s="6"/>
      <c r="D50" s="6"/>
      <c r="E50">
        <v>0</v>
      </c>
      <c r="F50">
        <v>0</v>
      </c>
      <c r="G50">
        <v>0</v>
      </c>
      <c r="H50">
        <v>0</v>
      </c>
      <c r="I50">
        <v>0</v>
      </c>
      <c r="N50" s="10">
        <v>0</v>
      </c>
    </row>
    <row r="51" spans="1:14" x14ac:dyDescent="0.4">
      <c r="A51">
        <v>5</v>
      </c>
      <c r="B51" s="6">
        <v>5</v>
      </c>
      <c r="C51" s="6"/>
      <c r="D51" s="6"/>
      <c r="E51">
        <v>0</v>
      </c>
      <c r="F51">
        <v>0</v>
      </c>
      <c r="G51">
        <v>0</v>
      </c>
      <c r="H51">
        <v>0</v>
      </c>
      <c r="I51">
        <v>0</v>
      </c>
      <c r="N51" s="10">
        <v>0</v>
      </c>
    </row>
    <row r="52" spans="1:14" x14ac:dyDescent="0.4">
      <c r="A52">
        <v>6</v>
      </c>
      <c r="B52" s="6">
        <v>6</v>
      </c>
      <c r="E52">
        <v>0</v>
      </c>
      <c r="F52">
        <v>0</v>
      </c>
      <c r="G52">
        <v>0</v>
      </c>
      <c r="H52">
        <v>0</v>
      </c>
      <c r="I52">
        <v>0</v>
      </c>
      <c r="N52" s="10">
        <v>0</v>
      </c>
    </row>
    <row r="53" spans="1:14" x14ac:dyDescent="0.4">
      <c r="A53">
        <v>7</v>
      </c>
      <c r="B53" s="6">
        <v>7</v>
      </c>
      <c r="E53">
        <v>0</v>
      </c>
      <c r="F53">
        <v>0</v>
      </c>
      <c r="G53">
        <v>0</v>
      </c>
      <c r="H53">
        <v>0</v>
      </c>
      <c r="I53">
        <v>0</v>
      </c>
      <c r="N53" s="10">
        <v>0</v>
      </c>
    </row>
    <row r="54" spans="1:14" x14ac:dyDescent="0.4">
      <c r="A54">
        <v>8</v>
      </c>
      <c r="B54" s="6">
        <v>8</v>
      </c>
      <c r="E54">
        <v>0</v>
      </c>
      <c r="F54">
        <v>0</v>
      </c>
      <c r="G54">
        <v>0</v>
      </c>
      <c r="H54">
        <v>0</v>
      </c>
      <c r="I54">
        <v>0</v>
      </c>
      <c r="N54" s="10">
        <v>0</v>
      </c>
    </row>
    <row r="55" spans="1:14" x14ac:dyDescent="0.4">
      <c r="A55">
        <v>9</v>
      </c>
      <c r="B55" s="6">
        <v>9</v>
      </c>
      <c r="E55">
        <v>0</v>
      </c>
      <c r="F55">
        <v>0</v>
      </c>
      <c r="G55">
        <v>0</v>
      </c>
      <c r="H55">
        <v>0</v>
      </c>
      <c r="I55">
        <v>0</v>
      </c>
      <c r="N55" s="10">
        <v>0</v>
      </c>
    </row>
    <row r="56" spans="1:14" x14ac:dyDescent="0.4">
      <c r="A56">
        <v>10</v>
      </c>
      <c r="B56" s="6">
        <v>10</v>
      </c>
      <c r="E56">
        <v>0</v>
      </c>
      <c r="F56">
        <v>0</v>
      </c>
      <c r="G56">
        <v>0</v>
      </c>
      <c r="H56">
        <v>0</v>
      </c>
      <c r="I56">
        <v>0</v>
      </c>
      <c r="N56" s="10">
        <v>0</v>
      </c>
    </row>
  </sheetData>
  <conditionalFormatting sqref="J2:J5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:M5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:N5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</vt:lpstr>
      <vt:lpstr>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Sille Wiberg</dc:creator>
  <cp:lastModifiedBy>Jonas Møller Hansen</cp:lastModifiedBy>
  <dcterms:created xsi:type="dcterms:W3CDTF">2026-03-10T08:39:53Z</dcterms:created>
  <dcterms:modified xsi:type="dcterms:W3CDTF">2026-06-30T16:42:49Z</dcterms:modified>
</cp:coreProperties>
</file>
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HanSong_Model/"/>
    </mc:Choice>
  </mc:AlternateContent>
  <xr:revisionPtr revIDLastSave="0" documentId="13_ncr:1_{7E0D4560-C8A5-F940-8132-000617EA15FC}" xr6:coauthVersionLast="47" xr6:coauthVersionMax="47" xr10:uidLastSave="{00000000-0000-0000-0000-000000000000}"/>
  <bookViews>
    <workbookView xWindow="20" yWindow="500" windowWidth="28800" windowHeight="16340" activeTab="4" xr2:uid="{63F903F0-DEEC-1344-9131-28787FF511C5}"/>
  </bookViews>
  <sheets>
    <sheet name="Parameters" sheetId="9" r:id="rId1"/>
    <sheet name="Prices" sheetId="12" r:id="rId2"/>
    <sheet name="PlaneData" sheetId="8" r:id="rId3"/>
    <sheet name="Infrastructure" sheetId="6" r:id="rId4"/>
    <sheet name="PassengerGroup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2" i="5"/>
  <c r="B17" i="9"/>
  <c r="B16" i="9"/>
  <c r="B14" i="9"/>
  <c r="B15" i="9"/>
  <c r="B8" i="9"/>
  <c r="G11" i="12"/>
  <c r="E11" i="12"/>
  <c r="G10" i="12"/>
  <c r="E10" i="12"/>
  <c r="F10" i="12" s="1"/>
  <c r="G9" i="12"/>
  <c r="E9" i="12"/>
  <c r="F9" i="12" s="1"/>
  <c r="J8" i="12"/>
  <c r="G8" i="12"/>
  <c r="E8" i="12"/>
  <c r="C8" i="12"/>
  <c r="G7" i="12"/>
  <c r="E7" i="12"/>
  <c r="C7" i="12"/>
  <c r="H7" i="12" s="1"/>
  <c r="G6" i="12"/>
  <c r="E6" i="12"/>
  <c r="C6" i="12"/>
  <c r="G5" i="12"/>
  <c r="E5" i="12"/>
  <c r="C5" i="12"/>
  <c r="H5" i="12" s="1"/>
  <c r="I5" i="12" s="1"/>
  <c r="G4" i="12"/>
  <c r="E4" i="12"/>
  <c r="J4" i="12" s="1"/>
  <c r="C4" i="12"/>
  <c r="M3" i="12"/>
  <c r="J11" i="12" s="1"/>
  <c r="G3" i="12"/>
  <c r="E3" i="12"/>
  <c r="F3" i="12" s="1"/>
  <c r="G2" i="12"/>
  <c r="E2" i="12"/>
  <c r="C2" i="12"/>
  <c r="F2" i="12" s="1"/>
  <c r="H4" i="12" l="1"/>
  <c r="I4" i="12" s="1"/>
  <c r="F7" i="12"/>
  <c r="I7" i="12"/>
  <c r="H10" i="12"/>
  <c r="I10" i="12" s="1"/>
  <c r="H3" i="12"/>
  <c r="I3" i="12" s="1"/>
  <c r="J7" i="12"/>
  <c r="J10" i="12"/>
  <c r="J5" i="12"/>
  <c r="H8" i="12"/>
  <c r="I8" i="12" s="1"/>
  <c r="H11" i="12"/>
  <c r="F4" i="12"/>
  <c r="F6" i="12"/>
  <c r="I9" i="12"/>
  <c r="I11" i="12"/>
  <c r="J3" i="12"/>
  <c r="H6" i="12"/>
  <c r="I6" i="12" s="1"/>
  <c r="F11" i="12"/>
  <c r="H2" i="12"/>
  <c r="I2" i="12" s="1"/>
  <c r="J6" i="12"/>
  <c r="F8" i="12"/>
  <c r="J9" i="12"/>
  <c r="H9" i="12"/>
  <c r="F5" i="12"/>
  <c r="J2" i="12"/>
</calcChain>
</file>

<file path=xl/sharedStrings.xml><?xml version="1.0" encoding="utf-8"?>
<sst xmlns="http://schemas.openxmlformats.org/spreadsheetml/2006/main" count="78" uniqueCount="73">
  <si>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</si>
  <si>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</si>
  <si>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</si>
  <si>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</si>
  <si>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</si>
  <si>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</si>
  <si>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</si>
  <si>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</si>
  <si>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</si>
  <si>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</si>
  <si>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</si>
  <si>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</si>
  <si>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</si>
  <si>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</si>
  <si>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</si>
  <si>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</si>
  <si>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</si>
  <si>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</si>
  <si>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</si>
  <si>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</si>
  <si>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coordinates_kbh</t>
  </si>
  <si>
    <t>Plane ID</t>
  </si>
  <si>
    <t>Base Vertiport</t>
  </si>
  <si>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</si>
  <si>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</si>
  <si>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</si>
  <si>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</si>
  <si>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</si>
  <si>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</si>
  <si>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</si>
  <si>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</si>
  <si>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</si>
  <si>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</si>
  <si>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</si>
  <si>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</si>
  <si>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</si>
  <si>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</si>
  <si>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</si>
  <si>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</si>
  <si>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</si>
  <si>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</si>
  <si>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</si>
  <si>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</si>
  <si>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</si>
  <si>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</si>
  <si>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</si>
  <si>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</si>
  <si>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</si>
  <si>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</si>
  <si>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Fd km</t>
  </si>
  <si>
    <t>Fd tid</t>
  </si>
  <si>
    <t>fd max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</si>
  <si>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</si>
  <si>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</si>
  <si>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</si>
  <si>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</si>
  <si>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</si>
  <si>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</si>
  <si>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</si>
  <si>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</si>
  <si>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</si>
  <si>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</si>
  <si>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</si>
  <si>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</si>
  <si>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</si>
  <si>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</si>
  <si>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</si>
  <si>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penalty for exceeding bmax</t>
  </si>
  <si>
    <t>bmid</t>
  </si>
  <si>
    <t>opening_cost</t>
  </si>
  <si>
    <t>cost of opening a vertiport</t>
  </si>
  <si>
    <t>minuts/unit</t>
  </si>
  <si>
    <t>time_old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</si>
</sst>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zoomScale="109" workbookViewId="0">
      <selection activeCell="C23" sqref="C23"/>
    </sheetView>
  </sheetViews>
  <sheetFormatPr baseColWidth="10" defaultColWidth="11" defaultRowHeight="16" x14ac:dyDescent="0.2"/>
  <cols>
    <col min="1" max="1" width="22.6640625" customWidth="1"/>
    <col min="2" max="2" width="10.83203125" style="4"/>
  </cols>
  <sheetData>
    <row r="1" spans="1:4" x14ac:dyDescent="0.2">
      <c r="A1" t="s">
        <v>44</v>
      </c>
    </row>
    <row r="2" spans="1:4" x14ac:dyDescent="0.2">
      <c r="A2" s="1" t="s">
        <v>43</v>
      </c>
      <c r="B2" s="4">
        <v>5</v>
      </c>
      <c r="D2" t="s">
        <v>30</v>
      </c>
    </row>
    <row r="3" spans="1:4" x14ac:dyDescent="0.2">
      <c r="A3" t="s">
        <v>38</v>
      </c>
      <c r="B3" s="4">
        <v>0.75</v>
      </c>
      <c r="D3" t="s">
        <v>31</v>
      </c>
    </row>
    <row r="4" spans="1:4" x14ac:dyDescent="0.2">
      <c r="A4" t="s">
        <v>69</v>
      </c>
      <c r="B4" s="4">
        <v>400</v>
      </c>
      <c r="D4" t="s">
        <v>70</v>
      </c>
    </row>
    <row r="5" spans="1:4" x14ac:dyDescent="0.2">
      <c r="A5" t="s">
        <v>39</v>
      </c>
      <c r="B5" s="4">
        <v>300</v>
      </c>
      <c r="D5" t="s">
        <v>66</v>
      </c>
    </row>
    <row r="6" spans="1:4" x14ac:dyDescent="0.2">
      <c r="A6" t="s">
        <v>40</v>
      </c>
      <c r="B6" s="4">
        <v>1.51</v>
      </c>
      <c r="D6" t="s">
        <v>32</v>
      </c>
    </row>
    <row r="7" spans="1:4" x14ac:dyDescent="0.2">
      <c r="A7" t="s">
        <v>41</v>
      </c>
      <c r="B7" s="4">
        <v>0.3</v>
      </c>
      <c r="D7" t="s">
        <v>33</v>
      </c>
    </row>
    <row r="8" spans="1:4" x14ac:dyDescent="0.2">
      <c r="A8" t="s">
        <v>42</v>
      </c>
      <c r="B8" s="4">
        <f>0.2/B20</f>
        <v>0.04</v>
      </c>
      <c r="D8" t="s">
        <v>63</v>
      </c>
    </row>
    <row r="9" spans="1:4" x14ac:dyDescent="0.2">
      <c r="A9" t="s">
        <v>23</v>
      </c>
      <c r="B9" s="4">
        <v>4</v>
      </c>
      <c r="D9" t="s">
        <v>34</v>
      </c>
    </row>
    <row r="10" spans="1:4" x14ac:dyDescent="0.2">
      <c r="A10" t="s">
        <v>24</v>
      </c>
      <c r="B10" s="4">
        <v>100</v>
      </c>
      <c r="D10" s="3">
        <v>1</v>
      </c>
    </row>
    <row r="11" spans="1:4" x14ac:dyDescent="0.2">
      <c r="A11" t="s">
        <v>68</v>
      </c>
      <c r="B11" s="4">
        <v>80</v>
      </c>
      <c r="D11" s="3">
        <v>0.8</v>
      </c>
    </row>
    <row r="12" spans="1:4" x14ac:dyDescent="0.2">
      <c r="A12" t="s">
        <v>25</v>
      </c>
      <c r="B12" s="4">
        <v>40</v>
      </c>
      <c r="D12" s="3">
        <v>0.1</v>
      </c>
    </row>
    <row r="13" spans="1:4" x14ac:dyDescent="0.2">
      <c r="A13" t="s">
        <v>65</v>
      </c>
      <c r="B13" s="4">
        <v>20</v>
      </c>
      <c r="D13" s="3" t="s">
        <v>67</v>
      </c>
    </row>
    <row r="14" spans="1:4" x14ac:dyDescent="0.2">
      <c r="A14" t="s">
        <v>26</v>
      </c>
      <c r="B14" s="4">
        <f>2.11*B20</f>
        <v>10.549999999999999</v>
      </c>
      <c r="D14" s="3" t="s">
        <v>62</v>
      </c>
    </row>
    <row r="15" spans="1:4" x14ac:dyDescent="0.2">
      <c r="A15" t="s">
        <v>27</v>
      </c>
      <c r="B15" s="4">
        <f>30/B20</f>
        <v>6</v>
      </c>
      <c r="D15" s="3" t="s">
        <v>35</v>
      </c>
    </row>
    <row r="16" spans="1:4" x14ac:dyDescent="0.2">
      <c r="A16" t="s">
        <v>28</v>
      </c>
      <c r="B16" s="4">
        <f>20/B20</f>
        <v>4</v>
      </c>
      <c r="D16" s="3" t="s">
        <v>36</v>
      </c>
    </row>
    <row r="17" spans="1:4" x14ac:dyDescent="0.2">
      <c r="A17" t="s">
        <v>29</v>
      </c>
      <c r="B17" s="4">
        <f>120/B20</f>
        <v>24</v>
      </c>
      <c r="D17" s="3" t="s">
        <v>37</v>
      </c>
    </row>
    <row r="20" spans="1:4" x14ac:dyDescent="0.2">
      <c r="A20" t="s">
        <v>64</v>
      </c>
      <c r="B20" s="4">
        <v>5</v>
      </c>
      <c r="D20" s="3" t="s">
        <v>71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D5EA-53B5-1240-9D84-6FE223856A18}">
  <dimension ref="A1:N24"/>
  <sheetViews>
    <sheetView zoomScale="133" workbookViewId="0">
      <selection activeCell="E7" sqref="E7"/>
    </sheetView>
  </sheetViews>
  <sheetFormatPr baseColWidth="10" defaultRowHeight="16" x14ac:dyDescent="0.2"/>
  <cols>
    <col min="2" max="2" width="17.1640625" bestFit="1" customWidth="1"/>
    <col min="3" max="3" width="12.1640625" bestFit="1" customWidth="1"/>
    <col min="4" max="4" width="11.33203125" bestFit="1" customWidth="1"/>
    <col min="5" max="5" width="17.1640625" bestFit="1" customWidth="1"/>
    <col min="6" max="6" width="18.1640625" bestFit="1" customWidth="1"/>
  </cols>
  <sheetData>
    <row r="1" spans="1:14" x14ac:dyDescent="0.2">
      <c r="A1" s="12" t="s">
        <v>59</v>
      </c>
      <c r="B1" s="5" t="s">
        <v>60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61</v>
      </c>
      <c r="J1" s="5" t="s">
        <v>51</v>
      </c>
      <c r="L1" s="6" t="s">
        <v>42</v>
      </c>
      <c r="M1" s="7">
        <v>0.2</v>
      </c>
      <c r="N1" s="6"/>
    </row>
    <row r="2" spans="1:14" x14ac:dyDescent="0.2">
      <c r="A2">
        <v>1</v>
      </c>
      <c r="B2" s="8">
        <v>2</v>
      </c>
      <c r="C2" s="8">
        <f>(180)</f>
        <v>180</v>
      </c>
      <c r="D2" s="8">
        <v>219</v>
      </c>
      <c r="E2" s="8">
        <f t="shared" ref="E2:E11" si="0">$M$1*D2</f>
        <v>43.800000000000004</v>
      </c>
      <c r="F2" s="9">
        <f>C2/E2</f>
        <v>4.10958904109589</v>
      </c>
      <c r="G2" s="10">
        <f t="shared" ref="G2:G11" si="1">D2*$M$2</f>
        <v>4161</v>
      </c>
      <c r="H2" s="11">
        <f t="shared" ref="H2:H11" si="2">(C2-E2)*$M$3*$M$4</f>
        <v>1589</v>
      </c>
      <c r="I2" s="11">
        <f>G2+H2</f>
        <v>5750</v>
      </c>
      <c r="J2" s="11">
        <f t="shared" ref="J2:J11" si="3">MAX($M$2*D2+$M$5,$M$4*$M$3*(C2-E2))</f>
        <v>4161</v>
      </c>
      <c r="L2" t="s">
        <v>52</v>
      </c>
      <c r="M2" s="4">
        <v>19</v>
      </c>
      <c r="N2" t="s">
        <v>53</v>
      </c>
    </row>
    <row r="3" spans="1:14" x14ac:dyDescent="0.2">
      <c r="A3">
        <v>1</v>
      </c>
      <c r="B3" s="8">
        <v>3</v>
      </c>
      <c r="C3" s="8">
        <v>60</v>
      </c>
      <c r="D3" s="8">
        <v>88</v>
      </c>
      <c r="E3" s="8">
        <f t="shared" si="0"/>
        <v>17.600000000000001</v>
      </c>
      <c r="F3" s="9">
        <f t="shared" ref="F3:F11" si="4">C3/E3</f>
        <v>3.4090909090909087</v>
      </c>
      <c r="G3" s="10">
        <f t="shared" si="1"/>
        <v>1672</v>
      </c>
      <c r="H3" s="11">
        <f t="shared" si="2"/>
        <v>494.66666666666669</v>
      </c>
      <c r="I3" s="11">
        <f t="shared" ref="I3:I11" si="5">G3+H3</f>
        <v>2166.6666666666665</v>
      </c>
      <c r="J3" s="11">
        <f t="shared" si="3"/>
        <v>1672</v>
      </c>
      <c r="L3" t="s">
        <v>54</v>
      </c>
      <c r="M3" s="4">
        <f>1000/60</f>
        <v>16.666666666666668</v>
      </c>
      <c r="N3" t="s">
        <v>55</v>
      </c>
    </row>
    <row r="4" spans="1:14" x14ac:dyDescent="0.2">
      <c r="A4">
        <v>1</v>
      </c>
      <c r="B4" s="8">
        <v>4</v>
      </c>
      <c r="C4" s="8">
        <f>200</f>
        <v>200</v>
      </c>
      <c r="D4" s="8">
        <v>147</v>
      </c>
      <c r="E4" s="8">
        <f t="shared" si="0"/>
        <v>29.400000000000002</v>
      </c>
      <c r="F4" s="9">
        <f t="shared" si="4"/>
        <v>6.8027210884353737</v>
      </c>
      <c r="G4" s="10">
        <f t="shared" si="1"/>
        <v>2793</v>
      </c>
      <c r="H4" s="11">
        <f t="shared" si="2"/>
        <v>1990.3333333333333</v>
      </c>
      <c r="I4" s="11">
        <f t="shared" si="5"/>
        <v>4783.333333333333</v>
      </c>
      <c r="J4" s="11">
        <f t="shared" si="3"/>
        <v>2793</v>
      </c>
      <c r="L4" t="s">
        <v>56</v>
      </c>
      <c r="M4" s="4">
        <v>0.7</v>
      </c>
    </row>
    <row r="5" spans="1:14" x14ac:dyDescent="0.2">
      <c r="A5">
        <v>1</v>
      </c>
      <c r="B5" s="8">
        <v>5</v>
      </c>
      <c r="C5" s="8">
        <f>(60+50)</f>
        <v>110</v>
      </c>
      <c r="D5" s="8">
        <v>147</v>
      </c>
      <c r="E5" s="8">
        <f t="shared" si="0"/>
        <v>29.400000000000002</v>
      </c>
      <c r="F5" s="9">
        <f t="shared" si="4"/>
        <v>3.7414965986394555</v>
      </c>
      <c r="G5" s="10">
        <f t="shared" si="1"/>
        <v>2793</v>
      </c>
      <c r="H5" s="11">
        <f t="shared" si="2"/>
        <v>940.33333333333326</v>
      </c>
      <c r="I5" s="11">
        <f t="shared" si="5"/>
        <v>3733.333333333333</v>
      </c>
      <c r="J5" s="11">
        <f t="shared" si="3"/>
        <v>2793</v>
      </c>
      <c r="L5" t="s">
        <v>57</v>
      </c>
      <c r="M5" s="4">
        <v>0</v>
      </c>
      <c r="N5" t="s">
        <v>58</v>
      </c>
    </row>
    <row r="6" spans="1:14" x14ac:dyDescent="0.2">
      <c r="A6">
        <v>2</v>
      </c>
      <c r="B6" s="8">
        <v>3</v>
      </c>
      <c r="C6" s="8">
        <f>(120+40)</f>
        <v>160</v>
      </c>
      <c r="D6" s="8">
        <v>131</v>
      </c>
      <c r="E6" s="8">
        <f t="shared" si="0"/>
        <v>26.200000000000003</v>
      </c>
      <c r="F6" s="9">
        <f t="shared" si="4"/>
        <v>6.1068702290076331</v>
      </c>
      <c r="G6" s="10">
        <f t="shared" si="1"/>
        <v>2489</v>
      </c>
      <c r="H6" s="11">
        <f t="shared" si="2"/>
        <v>1561.0000000000002</v>
      </c>
      <c r="I6" s="11">
        <f t="shared" si="5"/>
        <v>4050</v>
      </c>
      <c r="J6" s="11">
        <f t="shared" si="3"/>
        <v>2489</v>
      </c>
    </row>
    <row r="7" spans="1:14" x14ac:dyDescent="0.2">
      <c r="A7">
        <v>2</v>
      </c>
      <c r="B7" s="8">
        <v>4</v>
      </c>
      <c r="C7" s="8">
        <f>90</f>
        <v>90</v>
      </c>
      <c r="D7" s="8">
        <v>111</v>
      </c>
      <c r="E7" s="8">
        <f t="shared" si="0"/>
        <v>22.200000000000003</v>
      </c>
      <c r="F7" s="9">
        <f t="shared" si="4"/>
        <v>4.0540540540540535</v>
      </c>
      <c r="G7" s="10">
        <f t="shared" si="1"/>
        <v>2109</v>
      </c>
      <c r="H7" s="11">
        <f t="shared" si="2"/>
        <v>791</v>
      </c>
      <c r="I7" s="11">
        <f t="shared" si="5"/>
        <v>2900</v>
      </c>
      <c r="J7" s="11">
        <f t="shared" si="3"/>
        <v>2109</v>
      </c>
    </row>
    <row r="8" spans="1:14" x14ac:dyDescent="0.2">
      <c r="A8">
        <v>2</v>
      </c>
      <c r="B8" s="8">
        <v>5</v>
      </c>
      <c r="C8" s="8">
        <f>75</f>
        <v>75</v>
      </c>
      <c r="D8" s="8">
        <v>80</v>
      </c>
      <c r="E8" s="8">
        <f t="shared" si="0"/>
        <v>16</v>
      </c>
      <c r="F8" s="9">
        <f t="shared" si="4"/>
        <v>4.6875</v>
      </c>
      <c r="G8" s="10">
        <f t="shared" si="1"/>
        <v>1520</v>
      </c>
      <c r="H8" s="11">
        <f t="shared" si="2"/>
        <v>688.33333333333337</v>
      </c>
      <c r="I8" s="11">
        <f t="shared" si="5"/>
        <v>2208.3333333333335</v>
      </c>
      <c r="J8" s="11">
        <f t="shared" si="3"/>
        <v>1520</v>
      </c>
    </row>
    <row r="9" spans="1:14" x14ac:dyDescent="0.2">
      <c r="A9">
        <v>3</v>
      </c>
      <c r="B9" s="8">
        <v>4</v>
      </c>
      <c r="C9" s="8">
        <v>180</v>
      </c>
      <c r="D9" s="8">
        <v>79</v>
      </c>
      <c r="E9" s="8">
        <f t="shared" si="0"/>
        <v>15.8</v>
      </c>
      <c r="F9" s="9">
        <f t="shared" si="4"/>
        <v>11.39240506329114</v>
      </c>
      <c r="G9" s="10">
        <f t="shared" si="1"/>
        <v>1501</v>
      </c>
      <c r="H9" s="11">
        <f t="shared" si="2"/>
        <v>1915.6666666666665</v>
      </c>
      <c r="I9" s="11">
        <f t="shared" si="5"/>
        <v>3416.6666666666665</v>
      </c>
      <c r="J9" s="11">
        <f t="shared" si="3"/>
        <v>1915.6666666666665</v>
      </c>
    </row>
    <row r="10" spans="1:14" x14ac:dyDescent="0.2">
      <c r="A10">
        <v>3</v>
      </c>
      <c r="B10" s="8">
        <v>5</v>
      </c>
      <c r="C10" s="8">
        <v>90</v>
      </c>
      <c r="D10" s="8">
        <v>63</v>
      </c>
      <c r="E10" s="8">
        <f t="shared" si="0"/>
        <v>12.600000000000001</v>
      </c>
      <c r="F10" s="9">
        <f t="shared" si="4"/>
        <v>7.1428571428571423</v>
      </c>
      <c r="G10" s="10">
        <f t="shared" si="1"/>
        <v>1197</v>
      </c>
      <c r="H10" s="11">
        <f t="shared" si="2"/>
        <v>903.00000000000011</v>
      </c>
      <c r="I10" s="11">
        <f t="shared" si="5"/>
        <v>2100</v>
      </c>
      <c r="J10" s="11">
        <f t="shared" si="3"/>
        <v>1197</v>
      </c>
    </row>
    <row r="11" spans="1:14" x14ac:dyDescent="0.2">
      <c r="A11">
        <v>4</v>
      </c>
      <c r="B11" s="8">
        <v>5</v>
      </c>
      <c r="C11" s="8">
        <v>120</v>
      </c>
      <c r="D11" s="8">
        <v>93</v>
      </c>
      <c r="E11" s="8">
        <f t="shared" si="0"/>
        <v>18.600000000000001</v>
      </c>
      <c r="F11" s="9">
        <f t="shared" si="4"/>
        <v>6.4516129032258061</v>
      </c>
      <c r="G11" s="10">
        <f t="shared" si="1"/>
        <v>1767</v>
      </c>
      <c r="H11" s="11">
        <f t="shared" si="2"/>
        <v>1183</v>
      </c>
      <c r="I11" s="11">
        <f t="shared" si="5"/>
        <v>2950</v>
      </c>
      <c r="J11" s="11">
        <f t="shared" si="3"/>
        <v>1767</v>
      </c>
    </row>
    <row r="12" spans="1:14" x14ac:dyDescent="0.2">
      <c r="A12">
        <v>1</v>
      </c>
      <c r="B12" s="8">
        <v>1</v>
      </c>
      <c r="C12" s="8"/>
      <c r="D12" s="8"/>
      <c r="E12" s="8"/>
      <c r="F12" s="8"/>
      <c r="G12" s="10"/>
      <c r="I12">
        <v>0</v>
      </c>
    </row>
    <row r="13" spans="1:14" x14ac:dyDescent="0.2">
      <c r="A13">
        <v>2</v>
      </c>
      <c r="B13" s="8">
        <v>2</v>
      </c>
      <c r="C13" s="8"/>
      <c r="D13" s="8"/>
      <c r="E13" s="8"/>
      <c r="F13" s="8"/>
      <c r="G13" s="8"/>
      <c r="I13">
        <v>0</v>
      </c>
    </row>
    <row r="14" spans="1:14" x14ac:dyDescent="0.2">
      <c r="A14">
        <v>3</v>
      </c>
      <c r="B14" s="8">
        <v>3</v>
      </c>
      <c r="I14">
        <v>0</v>
      </c>
    </row>
    <row r="15" spans="1:14" x14ac:dyDescent="0.2">
      <c r="A15">
        <v>4</v>
      </c>
      <c r="B15" s="8">
        <v>4</v>
      </c>
      <c r="I15">
        <v>0</v>
      </c>
    </row>
    <row r="16" spans="1:14" x14ac:dyDescent="0.2">
      <c r="A16">
        <v>5</v>
      </c>
      <c r="B16" s="8">
        <v>5</v>
      </c>
      <c r="E16" s="6"/>
      <c r="I16">
        <v>0</v>
      </c>
    </row>
    <row r="20" spans="5:5" x14ac:dyDescent="0.2">
      <c r="E20" s="1"/>
    </row>
    <row r="21" spans="5:5" x14ac:dyDescent="0.2">
      <c r="E21" s="2"/>
    </row>
    <row r="22" spans="5:5" x14ac:dyDescent="0.2">
      <c r="E22" s="2"/>
    </row>
    <row r="23" spans="5:5" x14ac:dyDescent="0.2">
      <c r="E23" s="1"/>
    </row>
    <row r="24" spans="5:5" x14ac:dyDescent="0.2">
      <c r="E24" s="1"/>
    </row>
  </sheetData>
  <conditionalFormatting sqref="G2:G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C4B-C23A-0343-9CD4-B20C0FE9227B}">
  <dimension ref="A1:B4"/>
  <sheetViews>
    <sheetView workbookViewId="0">
      <selection activeCell="E8" sqref="E8"/>
    </sheetView>
  </sheetViews>
  <sheetFormatPr baseColWidth="10" defaultColWidth="8.83203125" defaultRowHeight="16" x14ac:dyDescent="0.2"/>
  <cols>
    <col min="2" max="2" width="12.33203125" bestFit="1" customWidth="1"/>
  </cols>
  <sheetData>
    <row r="1" spans="1:2" x14ac:dyDescent="0.2">
      <c r="A1" t="s">
        <v>21</v>
      </c>
      <c r="B1" t="s">
        <v>22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F2A-161E-4502-9547-1DD0A31CBA64}">
  <dimension ref="A1:F6"/>
  <sheetViews>
    <sheetView workbookViewId="0">
      <selection activeCell="F10" sqref="F10"/>
    </sheetView>
  </sheetViews>
  <sheetFormatPr baseColWidth="10" defaultColWidth="11" defaultRowHeight="16" x14ac:dyDescent="0.2"/>
  <cols>
    <col min="3" max="3" width="12.5" customWidth="1"/>
    <col min="4" max="4" width="20.5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20</v>
      </c>
    </row>
    <row r="2" spans="1:6" x14ac:dyDescent="0.2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 x14ac:dyDescent="0.2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 x14ac:dyDescent="0.2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 x14ac:dyDescent="0.2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 x14ac:dyDescent="0.2">
      <c r="A6" t="s">
        <v>1</v>
      </c>
      <c r="B6">
        <v>5</v>
      </c>
      <c r="C6">
        <v>2</v>
      </c>
      <c r="D6" s="1" t="s">
        <v>12</v>
      </c>
      <c r="F6" t="s">
        <v>13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6DF-5DC6-4F82-AD2C-07BC625FD2D9}">
  <dimension ref="A1:G8"/>
  <sheetViews>
    <sheetView tabSelected="1" zoomScale="133" workbookViewId="0">
      <selection activeCell="E20" sqref="E20"/>
    </sheetView>
  </sheetViews>
  <sheetFormatPr baseColWidth="10" defaultColWidth="11" defaultRowHeight="16" x14ac:dyDescent="0.2"/>
  <cols>
    <col min="5" max="5" width="19.6640625" bestFit="1" customWidth="1"/>
  </cols>
  <sheetData>
    <row r="1" spans="1:7" x14ac:dyDescent="0.2">
      <c r="A1" t="s">
        <v>14</v>
      </c>
      <c r="B1" t="s">
        <v>15</v>
      </c>
      <c r="C1" t="s">
        <v>16</v>
      </c>
      <c r="D1" t="s">
        <v>72</v>
      </c>
      <c r="E1" t="s">
        <v>18</v>
      </c>
      <c r="F1" t="s">
        <v>19</v>
      </c>
      <c r="G1" t="s">
        <v>17</v>
      </c>
    </row>
    <row r="2" spans="1:7" x14ac:dyDescent="0.2">
      <c r="A2">
        <v>1</v>
      </c>
      <c r="B2">
        <v>2</v>
      </c>
      <c r="C2">
        <v>3</v>
      </c>
      <c r="D2">
        <v>25</v>
      </c>
      <c r="E2">
        <v>3</v>
      </c>
      <c r="F2">
        <v>1</v>
      </c>
      <c r="G2">
        <f>D2/5</f>
        <v>5</v>
      </c>
    </row>
    <row r="3" spans="1:7" x14ac:dyDescent="0.2">
      <c r="A3">
        <v>2</v>
      </c>
      <c r="B3">
        <v>3</v>
      </c>
      <c r="C3">
        <v>1</v>
      </c>
      <c r="D3">
        <v>50</v>
      </c>
      <c r="E3">
        <v>3</v>
      </c>
      <c r="F3">
        <v>0</v>
      </c>
      <c r="G3">
        <f t="shared" ref="G3:G8" si="0">D3/5</f>
        <v>10</v>
      </c>
    </row>
    <row r="4" spans="1:7" x14ac:dyDescent="0.2">
      <c r="A4">
        <v>3</v>
      </c>
      <c r="B4">
        <v>3</v>
      </c>
      <c r="C4">
        <v>5</v>
      </c>
      <c r="D4">
        <v>70</v>
      </c>
      <c r="E4">
        <v>2</v>
      </c>
      <c r="F4">
        <v>1</v>
      </c>
      <c r="G4">
        <f t="shared" si="0"/>
        <v>14</v>
      </c>
    </row>
    <row r="5" spans="1:7" x14ac:dyDescent="0.2">
      <c r="A5">
        <v>4</v>
      </c>
      <c r="B5">
        <v>1</v>
      </c>
      <c r="C5">
        <v>4</v>
      </c>
      <c r="D5">
        <v>40</v>
      </c>
      <c r="E5">
        <v>4</v>
      </c>
      <c r="F5">
        <v>1</v>
      </c>
      <c r="G5">
        <f t="shared" si="0"/>
        <v>8</v>
      </c>
    </row>
    <row r="6" spans="1:7" x14ac:dyDescent="0.2">
      <c r="A6">
        <v>5</v>
      </c>
      <c r="B6">
        <v>3</v>
      </c>
      <c r="C6">
        <v>1</v>
      </c>
      <c r="D6">
        <v>110</v>
      </c>
      <c r="E6">
        <v>1</v>
      </c>
      <c r="F6">
        <v>0</v>
      </c>
      <c r="G6">
        <f t="shared" si="0"/>
        <v>22</v>
      </c>
    </row>
    <row r="7" spans="1:7" x14ac:dyDescent="0.2">
      <c r="A7">
        <v>6</v>
      </c>
      <c r="B7">
        <v>1</v>
      </c>
      <c r="C7">
        <v>3</v>
      </c>
      <c r="D7">
        <v>35</v>
      </c>
      <c r="E7">
        <v>1</v>
      </c>
      <c r="F7">
        <v>1</v>
      </c>
      <c r="G7">
        <f t="shared" si="0"/>
        <v>7</v>
      </c>
    </row>
    <row r="8" spans="1:7" x14ac:dyDescent="0.2">
      <c r="A8">
        <v>7</v>
      </c>
      <c r="B8">
        <v>1</v>
      </c>
      <c r="C8">
        <v>3</v>
      </c>
      <c r="D8">
        <v>45</v>
      </c>
      <c r="E8">
        <v>1</v>
      </c>
      <c r="F8">
        <v>1</v>
      </c>
      <c r="G8">
        <f t="shared" si="0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Prices</vt:lpstr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2026-04-24T07:07:11Z</dcterms:modified>
</cp:coreProperties>
</file>
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sbb/Desktop/Speciale/Master-Thesis-eVTOL/HanSong_Model/"/>
    </mc:Choice>
  </mc:AlternateContent>
  <xr:revisionPtr revIDLastSave="0" documentId="13_ncr:1_{148DF50B-1AEA-FF44-B3C8-19FBE34AE74D}" xr6:coauthVersionLast="47" xr6:coauthVersionMax="47" xr10:uidLastSave="{00000000-0000-0000-0000-000000000000}"/>
  <bookViews>
    <workbookView xWindow="0" yWindow="760" windowWidth="29400" windowHeight="16660" activeTab="1" xr2:uid="{63F903F0-DEEC-1344-9131-28787FF511C5}"/>
  </bookViews>
  <sheets>
    <sheet name="Parameters" sheetId="9" r:id="rId1"/>
    <sheet name="Prices" sheetId="12" r:id="rId2"/>
    <sheet name="PlaneData" sheetId="7" r:id="rId3"/>
    <sheet name="PlaneData (2)" sheetId="8" r:id="rId4"/>
    <sheet name="Infrastructure" sheetId="1" r:id="rId5"/>
    <sheet name="PassengerGroups" sheetId="2" r:id="rId6"/>
    <sheet name="PassengerGroups (2)" sheetId="3" r:id="rId7"/>
    <sheet name="Infrastructure (2)" sheetId="4" r:id="rId8"/>
    <sheet name="Infrastructure (3)" sheetId="6" r:id="rId9"/>
    <sheet name="PassengerGroups (4)" sheetId="11" r:id="rId10"/>
    <sheet name="PassengerGroups (3)" sheetId="5" r:id="rId11"/>
    <sheet name="Sheet1" sheetId="10" r:id="rId1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1" i="12" l="1"/>
  <c r="E11" i="12"/>
  <c r="G10" i="12"/>
  <c r="E10" i="12"/>
  <c r="F10" i="12" s="1"/>
  <c r="G9" i="12"/>
  <c r="E9" i="12"/>
  <c r="F9" i="12" s="1"/>
  <c r="J8" i="12"/>
  <c r="G8" i="12"/>
  <c r="E8" i="12"/>
  <c r="C8" i="12"/>
  <c r="G7" i="12"/>
  <c r="E7" i="12"/>
  <c r="C7" i="12"/>
  <c r="H7" i="12" s="1"/>
  <c r="G6" i="12"/>
  <c r="E6" i="12"/>
  <c r="C6" i="12"/>
  <c r="G5" i="12"/>
  <c r="E5" i="12"/>
  <c r="C5" i="12"/>
  <c r="H5" i="12" s="1"/>
  <c r="I5" i="12" s="1"/>
  <c r="G4" i="12"/>
  <c r="E4" i="12"/>
  <c r="J4" i="12" s="1"/>
  <c r="C4" i="12"/>
  <c r="M3" i="12"/>
  <c r="J11" i="12" s="1"/>
  <c r="G3" i="12"/>
  <c r="E3" i="12"/>
  <c r="F3" i="12" s="1"/>
  <c r="G2" i="12"/>
  <c r="E2" i="12"/>
  <c r="C2" i="12"/>
  <c r="F2" i="12" s="1"/>
  <c r="H4" i="12" l="1"/>
  <c r="I4" i="12" s="1"/>
  <c r="F7" i="12"/>
  <c r="I7" i="12"/>
  <c r="H10" i="12"/>
  <c r="I10" i="12" s="1"/>
  <c r="H3" i="12"/>
  <c r="I3" i="12" s="1"/>
  <c r="J7" i="12"/>
  <c r="J10" i="12"/>
  <c r="J5" i="12"/>
  <c r="H8" i="12"/>
  <c r="I8" i="12" s="1"/>
  <c r="H11" i="12"/>
  <c r="F4" i="12"/>
  <c r="F6" i="12"/>
  <c r="I9" i="12"/>
  <c r="I11" i="12"/>
  <c r="J3" i="12"/>
  <c r="H6" i="12"/>
  <c r="I6" i="12" s="1"/>
  <c r="F11" i="12"/>
  <c r="H2" i="12"/>
  <c r="I2" i="12" s="1"/>
  <c r="J6" i="12"/>
  <c r="F8" i="12"/>
  <c r="J9" i="12"/>
  <c r="H9" i="12"/>
  <c r="F5" i="12"/>
  <c r="J2" i="12"/>
  <c r="L3" i="11" l="1"/>
  <c r="L4" i="11"/>
  <c r="L5" i="11"/>
  <c r="L6" i="11"/>
  <c r="L7" i="11"/>
  <c r="L8" i="11"/>
  <c r="L9" i="11"/>
  <c r="L10" i="11"/>
  <c r="L11" i="11"/>
  <c r="L12" i="11"/>
  <c r="L13" i="11"/>
  <c r="L14" i="11"/>
  <c r="L15" i="11"/>
  <c r="L16" i="11"/>
  <c r="L17" i="11"/>
  <c r="L18" i="11"/>
  <c r="L19" i="11"/>
  <c r="L20" i="11"/>
  <c r="L21" i="11"/>
  <c r="K3" i="11"/>
  <c r="K4" i="11"/>
  <c r="K5" i="11"/>
  <c r="K6" i="11"/>
  <c r="K7" i="11"/>
  <c r="K8" i="11"/>
  <c r="K9" i="11"/>
  <c r="K10" i="11"/>
  <c r="K11" i="11"/>
  <c r="K12" i="11"/>
  <c r="K13" i="11"/>
  <c r="K14" i="11"/>
  <c r="K15" i="11"/>
  <c r="K16" i="11"/>
  <c r="K17" i="11"/>
  <c r="K18" i="11"/>
  <c r="K19" i="11"/>
  <c r="K20" i="11"/>
  <c r="K21" i="11"/>
  <c r="L2" i="11"/>
  <c r="K2" i="11"/>
  <c r="I3" i="11"/>
  <c r="I4" i="11"/>
  <c r="I5" i="11"/>
  <c r="I6" i="11"/>
  <c r="I7" i="11"/>
  <c r="I8" i="11"/>
  <c r="I9" i="11"/>
  <c r="I10" i="11"/>
  <c r="I11" i="11"/>
  <c r="I12" i="11"/>
  <c r="I13" i="11"/>
  <c r="I14" i="11"/>
  <c r="I15" i="11"/>
  <c r="I16" i="11"/>
  <c r="I17" i="11"/>
  <c r="I18" i="11"/>
  <c r="I19" i="11"/>
  <c r="I20" i="11"/>
  <c r="I21" i="11"/>
  <c r="I2" i="11"/>
  <c r="D2" i="11"/>
  <c r="D3" i="11"/>
  <c r="D4" i="11"/>
  <c r="D5" i="11"/>
  <c r="D6" i="11"/>
  <c r="D7" i="11"/>
  <c r="D8" i="11"/>
  <c r="D9" i="11"/>
  <c r="D10" i="11"/>
  <c r="D11" i="11"/>
  <c r="D12" i="11"/>
  <c r="D13" i="11"/>
  <c r="D14" i="11"/>
  <c r="D15" i="11"/>
  <c r="D16" i="11"/>
  <c r="D17" i="11"/>
  <c r="D18" i="11"/>
  <c r="D19" i="11"/>
  <c r="D20" i="11"/>
  <c r="D21" i="11"/>
</calcChain>
</file>

<file path=xl/sharedStrings.xml><?xml version="1.0" encoding="utf-8"?>
<sst xmlns="http://schemas.openxmlformats.org/spreadsheetml/2006/main" count="131" uniqueCount="73">
  <si>
    <t>type</t>
  </si>
  <si>
    <t>vertiport</t>
  </si>
  <si>
    <t>id</t>
  </si>
  <si>
    <t>number_of_parking_pads</t>
  </si>
  <si>
    <t>coordinates</t>
  </si>
  <si>
    <t>(55.629053, 12.647601)</t>
  </si>
  <si>
    <t>(55.740278, 9.151667)</t>
  </si>
  <si>
    <t>(55.7003, 11.2500)</t>
  </si>
  <si>
    <t>københavn</t>
  </si>
  <si>
    <t>billund</t>
  </si>
  <si>
    <t>kalundborg</t>
  </si>
  <si>
    <t>(56.3000, 10.6180)</t>
  </si>
  <si>
    <t>århus</t>
  </si>
  <si>
    <t>(55.4767, 10.3308)</t>
  </si>
  <si>
    <t>odense</t>
  </si>
  <si>
    <t>group</t>
  </si>
  <si>
    <t>origin</t>
  </si>
  <si>
    <t>destination</t>
  </si>
  <si>
    <t>time</t>
  </si>
  <si>
    <t>number_of_passengers</t>
  </si>
  <si>
    <t>stopover_allowed</t>
  </si>
  <si>
    <t>coordinates_kbh</t>
  </si>
  <si>
    <t>(37.5655, 126.8013)</t>
  </si>
  <si>
    <t>(37.5176, 127.0867)</t>
  </si>
  <si>
    <t>(37.6686, 126.7443)</t>
  </si>
  <si>
    <t>(37.5254, 126.9215)</t>
  </si>
  <si>
    <t>(37.4875, 127.1013)</t>
  </si>
  <si>
    <t>Plane ID</t>
  </si>
  <si>
    <t>Base Vertiport</t>
  </si>
  <si>
    <t>cap_flt</t>
  </si>
  <si>
    <t>cap_u</t>
  </si>
  <si>
    <t>bmax</t>
  </si>
  <si>
    <t>bmin</t>
  </si>
  <si>
    <t>ec</t>
  </si>
  <si>
    <t>te</t>
  </si>
  <si>
    <t>w</t>
  </si>
  <si>
    <t>ET</t>
  </si>
  <si>
    <t>fd_{i,j} = $3/km</t>
  </si>
  <si>
    <t>fs_{i,j}=75% of fd_{i,j}</t>
  </si>
  <si>
    <t>c_{i,j} = $1/km</t>
  </si>
  <si>
    <t>e_{i,j} = 1%/km</t>
  </si>
  <si>
    <t>rt_{i,j} = 0.6 min/km</t>
  </si>
  <si>
    <t>capacity of air corridor</t>
  </si>
  <si>
    <t>seat capacity of eVTOL</t>
  </si>
  <si>
    <t>5% battery charged per unit time</t>
  </si>
  <si>
    <t>minimum turnaround time at vertiport</t>
  </si>
  <si>
    <t>maximum waiting time</t>
  </si>
  <si>
    <t>end time</t>
  </si>
  <si>
    <t>fare_stopover_factor</t>
  </si>
  <si>
    <t>p_penalty</t>
  </si>
  <si>
    <t>operating_cost_per_km</t>
  </si>
  <si>
    <t>battery_per_km</t>
  </si>
  <si>
    <t>time_per_km</t>
  </si>
  <si>
    <t>fare_direct_per_km</t>
  </si>
  <si>
    <t>Parameters</t>
  </si>
  <si>
    <t>Helper Column</t>
  </si>
  <si>
    <t>Bil tid (min)</t>
  </si>
  <si>
    <t>Km fugleflugt</t>
  </si>
  <si>
    <t>eVTOL flyvetid (min)</t>
  </si>
  <si>
    <t>Hvor meget hurtigere</t>
  </si>
  <si>
    <t>Fd km</t>
  </si>
  <si>
    <t>Fd tid</t>
  </si>
  <si>
    <t>fd max</t>
  </si>
  <si>
    <t>Passager km pris</t>
  </si>
  <si>
    <t>kr/km</t>
  </si>
  <si>
    <t>Tidsværdi</t>
  </si>
  <si>
    <t>kr/min</t>
  </si>
  <si>
    <t>Lambda</t>
  </si>
  <si>
    <t>Base fee</t>
  </si>
  <si>
    <t>kr</t>
  </si>
  <si>
    <t>From</t>
  </si>
  <si>
    <t>To</t>
  </si>
  <si>
    <t>fd_sum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</si>
</sst>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0.0"/>
  </numFmts>
  <fonts count="7">
    <font>
      <sz val="12"/>
      <color theme="1"/>
      <name val="Aptos Narrow"/>
      <family val="2"/>
      <scheme val="minor"/>
    </font>
    <font>
      <sz val="12"/>
      <color theme="1"/>
      <name val="Aptos Narrow"/>
      <scheme val="minor"/>
    </font>
    <font>
      <sz val="12"/>
      <color rgb="FF0A0A0A"/>
      <name val="Aptos Narrow"/>
      <scheme val="minor"/>
    </font>
    <font>
      <sz val="7"/>
      <color rgb="FF000000"/>
      <name val="CharisSIL"/>
    </font>
    <font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  <font>
      <sz val="12"/>
      <color rgb="FF00000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3" fontId="4" fillId="0" borderId="0" applyFont="0" applyFill="0" applyBorder="0" applyAlignment="0" applyProtection="0"/>
  </cellStyleXfs>
  <cellXfs count="15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 applyAlignment="1">
      <alignment vertical="center" wrapText="1"/>
    </xf>
    <xf numFmtId="9" fontId="0" fillId="0" borderId="0" xfId="0" applyNumberFormat="1"/>
    <xf numFmtId="2" fontId="0" fillId="0" borderId="0" xfId="0" applyNumberFormat="1"/>
    <xf numFmtId="43" fontId="0" fillId="0" borderId="0" xfId="1" applyFont="1"/>
    <xf numFmtId="0" fontId="5" fillId="0" borderId="0" xfId="0" applyFont="1" applyAlignment="1">
      <alignment horizontal="center" vertical="center"/>
    </xf>
    <xf numFmtId="0" fontId="6" fillId="0" borderId="0" xfId="0" applyFont="1"/>
    <xf numFmtId="2" fontId="6" fillId="0" borderId="0" xfId="0" applyNumberFormat="1" applyFont="1"/>
    <xf numFmtId="0" fontId="0" fillId="0" borderId="0" xfId="0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1" fontId="0" fillId="0" borderId="0" xfId="0" applyNumberFormat="1" applyAlignment="1">
      <alignment horizontal="center" vertical="center"/>
    </xf>
    <xf numFmtId="1" fontId="0" fillId="0" borderId="0" xfId="0" applyNumberFormat="1" applyAlignment="1">
      <alignment horizontal="center"/>
    </xf>
    <xf numFmtId="0" fontId="5" fillId="0" borderId="0" xfId="0" applyFont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5C49E0-A7B4-734A-8962-DC2A879F4079}">
  <dimension ref="A1:D15"/>
  <sheetViews>
    <sheetView zoomScale="150" workbookViewId="0">
      <selection activeCell="B2" sqref="B2"/>
    </sheetView>
  </sheetViews>
  <sheetFormatPr baseColWidth="10" defaultColWidth="11" defaultRowHeight="16"/>
  <cols>
    <col min="1" max="1" width="22.6640625" customWidth="1"/>
    <col min="2" max="2" width="10.83203125" style="5"/>
  </cols>
  <sheetData>
    <row r="1" spans="1:4">
      <c r="A1" t="s">
        <v>54</v>
      </c>
    </row>
    <row r="2" spans="1:4">
      <c r="A2" s="1" t="s">
        <v>53</v>
      </c>
      <c r="B2" s="5">
        <v>5</v>
      </c>
      <c r="D2" t="s">
        <v>37</v>
      </c>
    </row>
    <row r="3" spans="1:4">
      <c r="A3" t="s">
        <v>48</v>
      </c>
      <c r="B3" s="5">
        <v>0.75</v>
      </c>
      <c r="D3" t="s">
        <v>38</v>
      </c>
    </row>
    <row r="4" spans="1:4">
      <c r="A4" t="s">
        <v>49</v>
      </c>
      <c r="B4" s="5">
        <v>300</v>
      </c>
      <c r="D4" t="s">
        <v>43</v>
      </c>
    </row>
    <row r="5" spans="1:4">
      <c r="A5" t="s">
        <v>50</v>
      </c>
      <c r="B5" s="5">
        <v>1.51</v>
      </c>
      <c r="D5" t="s">
        <v>39</v>
      </c>
    </row>
    <row r="6" spans="1:4">
      <c r="A6" t="s">
        <v>51</v>
      </c>
      <c r="B6" s="5">
        <v>0.3</v>
      </c>
      <c r="D6" t="s">
        <v>40</v>
      </c>
    </row>
    <row r="7" spans="1:4">
      <c r="A7" t="s">
        <v>52</v>
      </c>
      <c r="B7" s="5">
        <v>0.2</v>
      </c>
      <c r="D7" t="s">
        <v>41</v>
      </c>
    </row>
    <row r="8" spans="1:4">
      <c r="A8" t="s">
        <v>29</v>
      </c>
      <c r="B8" s="5">
        <v>1</v>
      </c>
      <c r="D8" t="s">
        <v>42</v>
      </c>
    </row>
    <row r="9" spans="1:4">
      <c r="A9" t="s">
        <v>30</v>
      </c>
      <c r="B9" s="5">
        <v>4</v>
      </c>
      <c r="D9" t="s">
        <v>43</v>
      </c>
    </row>
    <row r="10" spans="1:4">
      <c r="A10" t="s">
        <v>31</v>
      </c>
      <c r="B10" s="5">
        <v>80</v>
      </c>
      <c r="D10" s="4">
        <v>1</v>
      </c>
    </row>
    <row r="11" spans="1:4">
      <c r="A11" t="s">
        <v>32</v>
      </c>
      <c r="B11" s="5">
        <v>40</v>
      </c>
      <c r="D11" s="4">
        <v>0.1</v>
      </c>
    </row>
    <row r="12" spans="1:4">
      <c r="A12" t="s">
        <v>33</v>
      </c>
      <c r="B12" s="5">
        <v>5</v>
      </c>
      <c r="D12" s="4" t="s">
        <v>44</v>
      </c>
    </row>
    <row r="13" spans="1:4">
      <c r="A13" t="s">
        <v>34</v>
      </c>
      <c r="B13" s="5">
        <v>6</v>
      </c>
      <c r="D13" s="4" t="s">
        <v>45</v>
      </c>
    </row>
    <row r="14" spans="1:4">
      <c r="A14" t="s">
        <v>35</v>
      </c>
      <c r="B14" s="5">
        <v>20</v>
      </c>
      <c r="D14" s="4" t="s">
        <v>46</v>
      </c>
    </row>
    <row r="15" spans="1:4">
      <c r="A15" t="s">
        <v>36</v>
      </c>
      <c r="B15" s="5">
        <v>120</v>
      </c>
      <c r="D15" s="4" t="s">
        <v>47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F0D5EA-53B5-1240-9D84-6FE223856A18}">
  <dimension ref="A1:N24"/>
  <sheetViews>
    <sheetView tabSelected="1" zoomScale="133" workbookViewId="0">
      <selection activeCell="E7" sqref="E7"/>
    </sheetView>
  </sheetViews>
  <sheetFormatPr baseColWidth="10" defaultRowHeight="16"/>
  <cols>
    <col min="2" max="2" width="17.1640625" bestFit="1" customWidth="1"/>
    <col min="3" max="3" width="12.1640625" bestFit="1" customWidth="1"/>
    <col min="4" max="4" width="11.33203125" bestFit="1" customWidth="1"/>
    <col min="5" max="5" width="17.1640625" bestFit="1" customWidth="1"/>
    <col min="6" max="6" width="18.1640625" bestFit="1" customWidth="1"/>
  </cols>
  <sheetData>
    <row r="1" spans="1:14">
      <c r="A1" s="14" t="s">
        <v>70</v>
      </c>
      <c r="B1" s="7" t="s">
        <v>71</v>
      </c>
      <c r="C1" s="7" t="s">
        <v>56</v>
      </c>
      <c r="D1" s="7" t="s">
        <v>57</v>
      </c>
      <c r="E1" s="7" t="s">
        <v>58</v>
      </c>
      <c r="F1" s="7" t="s">
        <v>59</v>
      </c>
      <c r="G1" s="7" t="s">
        <v>60</v>
      </c>
      <c r="H1" s="7" t="s">
        <v>61</v>
      </c>
      <c r="I1" s="7" t="s">
        <v>72</v>
      </c>
      <c r="J1" s="7" t="s">
        <v>62</v>
      </c>
      <c r="L1" s="8" t="s">
        <v>52</v>
      </c>
      <c r="M1" s="9">
        <v>0.2</v>
      </c>
      <c r="N1" s="8"/>
    </row>
    <row r="2" spans="1:14">
      <c r="A2">
        <v>1</v>
      </c>
      <c r="B2" s="10">
        <v>2</v>
      </c>
      <c r="C2" s="10">
        <f>(180)</f>
        <v>180</v>
      </c>
      <c r="D2" s="10">
        <v>219</v>
      </c>
      <c r="E2" s="10">
        <f t="shared" ref="E2:E11" si="0">$M$1*D2</f>
        <v>43.800000000000004</v>
      </c>
      <c r="F2" s="11">
        <f>C2/E2</f>
        <v>4.10958904109589</v>
      </c>
      <c r="G2" s="12">
        <f t="shared" ref="G2:G11" si="1">D2*$M$2</f>
        <v>4161</v>
      </c>
      <c r="H2" s="13">
        <f t="shared" ref="H2:H11" si="2">(C2-E2)*$M$3*$M$4</f>
        <v>1589</v>
      </c>
      <c r="I2" s="13">
        <f>G2+H2</f>
        <v>5750</v>
      </c>
      <c r="J2" s="13">
        <f t="shared" ref="J2:J11" si="3">MAX($M$2*D2+$M$5,$M$4*$M$3*(C2-E2))</f>
        <v>4161</v>
      </c>
      <c r="L2" t="s">
        <v>63</v>
      </c>
      <c r="M2" s="5">
        <v>19</v>
      </c>
      <c r="N2" t="s">
        <v>64</v>
      </c>
    </row>
    <row r="3" spans="1:14">
      <c r="A3">
        <v>1</v>
      </c>
      <c r="B3" s="10">
        <v>3</v>
      </c>
      <c r="C3" s="10">
        <v>60</v>
      </c>
      <c r="D3" s="10">
        <v>88</v>
      </c>
      <c r="E3" s="10">
        <f t="shared" si="0"/>
        <v>17.600000000000001</v>
      </c>
      <c r="F3" s="11">
        <f t="shared" ref="F3:F11" si="4">C3/E3</f>
        <v>3.4090909090909087</v>
      </c>
      <c r="G3" s="12">
        <f t="shared" si="1"/>
        <v>1672</v>
      </c>
      <c r="H3" s="13">
        <f t="shared" si="2"/>
        <v>494.66666666666669</v>
      </c>
      <c r="I3" s="13">
        <f t="shared" ref="I3:I11" si="5">G3+H3</f>
        <v>2166.6666666666665</v>
      </c>
      <c r="J3" s="13">
        <f t="shared" si="3"/>
        <v>1672</v>
      </c>
      <c r="L3" t="s">
        <v>65</v>
      </c>
      <c r="M3" s="5">
        <f>1000/60</f>
        <v>16.666666666666668</v>
      </c>
      <c r="N3" t="s">
        <v>66</v>
      </c>
    </row>
    <row r="4" spans="1:14">
      <c r="A4">
        <v>1</v>
      </c>
      <c r="B4" s="10">
        <v>4</v>
      </c>
      <c r="C4" s="10">
        <f>200</f>
        <v>200</v>
      </c>
      <c r="D4" s="10">
        <v>147</v>
      </c>
      <c r="E4" s="10">
        <f t="shared" si="0"/>
        <v>29.400000000000002</v>
      </c>
      <c r="F4" s="11">
        <f t="shared" si="4"/>
        <v>6.8027210884353737</v>
      </c>
      <c r="G4" s="12">
        <f t="shared" si="1"/>
        <v>2793</v>
      </c>
      <c r="H4" s="13">
        <f t="shared" si="2"/>
        <v>1990.3333333333333</v>
      </c>
      <c r="I4" s="13">
        <f t="shared" si="5"/>
        <v>4783.333333333333</v>
      </c>
      <c r="J4" s="13">
        <f t="shared" si="3"/>
        <v>2793</v>
      </c>
      <c r="L4" t="s">
        <v>67</v>
      </c>
      <c r="M4" s="5">
        <v>0.7</v>
      </c>
    </row>
    <row r="5" spans="1:14">
      <c r="A5">
        <v>1</v>
      </c>
      <c r="B5" s="10">
        <v>5</v>
      </c>
      <c r="C5" s="10">
        <f>(60+50)</f>
        <v>110</v>
      </c>
      <c r="D5" s="10">
        <v>147</v>
      </c>
      <c r="E5" s="10">
        <f t="shared" si="0"/>
        <v>29.400000000000002</v>
      </c>
      <c r="F5" s="11">
        <f t="shared" si="4"/>
        <v>3.7414965986394555</v>
      </c>
      <c r="G5" s="12">
        <f t="shared" si="1"/>
        <v>2793</v>
      </c>
      <c r="H5" s="13">
        <f t="shared" si="2"/>
        <v>940.33333333333326</v>
      </c>
      <c r="I5" s="13">
        <f t="shared" si="5"/>
        <v>3733.333333333333</v>
      </c>
      <c r="J5" s="13">
        <f t="shared" si="3"/>
        <v>2793</v>
      </c>
      <c r="L5" t="s">
        <v>68</v>
      </c>
      <c r="M5" s="5">
        <v>0</v>
      </c>
      <c r="N5" t="s">
        <v>69</v>
      </c>
    </row>
    <row r="6" spans="1:14">
      <c r="A6">
        <v>2</v>
      </c>
      <c r="B6" s="10">
        <v>3</v>
      </c>
      <c r="C6" s="10">
        <f>(120+40)</f>
        <v>160</v>
      </c>
      <c r="D6" s="10">
        <v>131</v>
      </c>
      <c r="E6" s="10">
        <f t="shared" si="0"/>
        <v>26.200000000000003</v>
      </c>
      <c r="F6" s="11">
        <f t="shared" si="4"/>
        <v>6.1068702290076331</v>
      </c>
      <c r="G6" s="12">
        <f t="shared" si="1"/>
        <v>2489</v>
      </c>
      <c r="H6" s="13">
        <f t="shared" si="2"/>
        <v>1561.0000000000002</v>
      </c>
      <c r="I6" s="13">
        <f t="shared" si="5"/>
        <v>4050</v>
      </c>
      <c r="J6" s="13">
        <f t="shared" si="3"/>
        <v>2489</v>
      </c>
    </row>
    <row r="7" spans="1:14">
      <c r="A7">
        <v>2</v>
      </c>
      <c r="B7" s="10">
        <v>4</v>
      </c>
      <c r="C7" s="10">
        <f>90</f>
        <v>90</v>
      </c>
      <c r="D7" s="10">
        <v>111</v>
      </c>
      <c r="E7" s="10">
        <f t="shared" si="0"/>
        <v>22.200000000000003</v>
      </c>
      <c r="F7" s="11">
        <f t="shared" si="4"/>
        <v>4.0540540540540535</v>
      </c>
      <c r="G7" s="12">
        <f t="shared" si="1"/>
        <v>2109</v>
      </c>
      <c r="H7" s="13">
        <f t="shared" si="2"/>
        <v>791</v>
      </c>
      <c r="I7" s="13">
        <f t="shared" si="5"/>
        <v>2900</v>
      </c>
      <c r="J7" s="13">
        <f t="shared" si="3"/>
        <v>2109</v>
      </c>
    </row>
    <row r="8" spans="1:14">
      <c r="A8">
        <v>2</v>
      </c>
      <c r="B8" s="10">
        <v>5</v>
      </c>
      <c r="C8" s="10">
        <f>75</f>
        <v>75</v>
      </c>
      <c r="D8" s="10">
        <v>80</v>
      </c>
      <c r="E8" s="10">
        <f t="shared" si="0"/>
        <v>16</v>
      </c>
      <c r="F8" s="11">
        <f t="shared" si="4"/>
        <v>4.6875</v>
      </c>
      <c r="G8" s="12">
        <f t="shared" si="1"/>
        <v>1520</v>
      </c>
      <c r="H8" s="13">
        <f t="shared" si="2"/>
        <v>688.33333333333337</v>
      </c>
      <c r="I8" s="13">
        <f t="shared" si="5"/>
        <v>2208.3333333333335</v>
      </c>
      <c r="J8" s="13">
        <f t="shared" si="3"/>
        <v>1520</v>
      </c>
    </row>
    <row r="9" spans="1:14">
      <c r="A9">
        <v>3</v>
      </c>
      <c r="B9" s="10">
        <v>4</v>
      </c>
      <c r="C9" s="10">
        <v>180</v>
      </c>
      <c r="D9" s="10">
        <v>79</v>
      </c>
      <c r="E9" s="10">
        <f t="shared" si="0"/>
        <v>15.8</v>
      </c>
      <c r="F9" s="11">
        <f t="shared" si="4"/>
        <v>11.39240506329114</v>
      </c>
      <c r="G9" s="12">
        <f t="shared" si="1"/>
        <v>1501</v>
      </c>
      <c r="H9" s="13">
        <f t="shared" si="2"/>
        <v>1915.6666666666665</v>
      </c>
      <c r="I9" s="13">
        <f t="shared" si="5"/>
        <v>3416.6666666666665</v>
      </c>
      <c r="J9" s="13">
        <f t="shared" si="3"/>
        <v>1915.6666666666665</v>
      </c>
    </row>
    <row r="10" spans="1:14">
      <c r="A10">
        <v>3</v>
      </c>
      <c r="B10" s="10">
        <v>5</v>
      </c>
      <c r="C10" s="10">
        <v>90</v>
      </c>
      <c r="D10" s="10">
        <v>63</v>
      </c>
      <c r="E10" s="10">
        <f t="shared" si="0"/>
        <v>12.600000000000001</v>
      </c>
      <c r="F10" s="11">
        <f t="shared" si="4"/>
        <v>7.1428571428571423</v>
      </c>
      <c r="G10" s="12">
        <f t="shared" si="1"/>
        <v>1197</v>
      </c>
      <c r="H10" s="13">
        <f t="shared" si="2"/>
        <v>903.00000000000011</v>
      </c>
      <c r="I10" s="13">
        <f t="shared" si="5"/>
        <v>2100</v>
      </c>
      <c r="J10" s="13">
        <f t="shared" si="3"/>
        <v>1197</v>
      </c>
    </row>
    <row r="11" spans="1:14">
      <c r="A11">
        <v>4</v>
      </c>
      <c r="B11" s="10">
        <v>5</v>
      </c>
      <c r="C11" s="10">
        <v>120</v>
      </c>
      <c r="D11" s="10">
        <v>93</v>
      </c>
      <c r="E11" s="10">
        <f t="shared" si="0"/>
        <v>18.600000000000001</v>
      </c>
      <c r="F11" s="11">
        <f t="shared" si="4"/>
        <v>6.4516129032258061</v>
      </c>
      <c r="G11" s="12">
        <f t="shared" si="1"/>
        <v>1767</v>
      </c>
      <c r="H11" s="13">
        <f t="shared" si="2"/>
        <v>1183</v>
      </c>
      <c r="I11" s="13">
        <f t="shared" si="5"/>
        <v>2950</v>
      </c>
      <c r="J11" s="13">
        <f t="shared" si="3"/>
        <v>1767</v>
      </c>
    </row>
    <row r="12" spans="1:14">
      <c r="A12">
        <v>1</v>
      </c>
      <c r="B12" s="10">
        <v>1</v>
      </c>
      <c r="C12" s="10"/>
      <c r="D12" s="10"/>
      <c r="E12" s="10"/>
      <c r="F12" s="10"/>
      <c r="G12" s="12"/>
      <c r="I12">
        <v>0</v>
      </c>
    </row>
    <row r="13" spans="1:14">
      <c r="A13">
        <v>2</v>
      </c>
      <c r="B13" s="10">
        <v>2</v>
      </c>
      <c r="C13" s="10"/>
      <c r="D13" s="10"/>
      <c r="E13" s="10"/>
      <c r="F13" s="10"/>
      <c r="G13" s="10"/>
      <c r="I13">
        <v>0</v>
      </c>
    </row>
    <row r="14" spans="1:14">
      <c r="A14">
        <v>3</v>
      </c>
      <c r="B14" s="10">
        <v>3</v>
      </c>
      <c r="I14">
        <v>0</v>
      </c>
    </row>
    <row r="15" spans="1:14">
      <c r="A15">
        <v>4</v>
      </c>
      <c r="B15" s="10">
        <v>4</v>
      </c>
      <c r="I15">
        <v>0</v>
      </c>
    </row>
    <row r="16" spans="1:14">
      <c r="A16">
        <v>5</v>
      </c>
      <c r="B16" s="10">
        <v>5</v>
      </c>
      <c r="E16" s="8"/>
      <c r="I16">
        <v>0</v>
      </c>
    </row>
    <row r="20" spans="5:5">
      <c r="E20" s="1"/>
    </row>
    <row r="21" spans="5:5">
      <c r="E21" s="2"/>
    </row>
    <row r="22" spans="5:5">
      <c r="E22" s="2"/>
    </row>
    <row r="23" spans="5:5">
      <c r="E23" s="1"/>
    </row>
    <row r="24" spans="5:5">
      <c r="E24" s="1"/>
    </row>
  </sheetData>
  <conditionalFormatting sqref="G2:G11">
    <cfRule type="colorScale" priority="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H2:H11">
    <cfRule type="colorScale" priority="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I2:I11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J2:J11">
    <cfRule type="colorScale" priority="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4FE46B-0EE8-4D7E-956E-06AD6DDE4FF5}">
  <dimension ref="A1:B5"/>
  <sheetViews>
    <sheetView workbookViewId="0">
      <selection activeCell="C21" sqref="C21"/>
    </sheetView>
  </sheetViews>
  <sheetFormatPr baseColWidth="10" defaultColWidth="8.83203125" defaultRowHeight="16"/>
  <cols>
    <col min="2" max="2" width="12.33203125" bestFit="1" customWidth="1"/>
  </cols>
  <sheetData>
    <row r="1" spans="1:2">
      <c r="A1" t="s">
        <v>27</v>
      </c>
      <c r="B1" t="s">
        <v>28</v>
      </c>
    </row>
    <row r="2" spans="1:2">
      <c r="A2">
        <v>1</v>
      </c>
      <c r="B2">
        <v>1</v>
      </c>
    </row>
    <row r="3" spans="1:2">
      <c r="A3">
        <v>2</v>
      </c>
      <c r="B3">
        <v>1</v>
      </c>
    </row>
    <row r="4" spans="1:2">
      <c r="A4">
        <v>3</v>
      </c>
      <c r="B4">
        <v>2</v>
      </c>
    </row>
    <row r="5" spans="1:2">
      <c r="A5">
        <v>4</v>
      </c>
      <c r="B5">
        <v>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A48C4B-C23A-0343-9CD4-B20C0FE9227B}">
  <dimension ref="A1:B4"/>
  <sheetViews>
    <sheetView workbookViewId="0">
      <selection activeCell="E8" sqref="E8"/>
    </sheetView>
  </sheetViews>
  <sheetFormatPr baseColWidth="10" defaultColWidth="8.83203125" defaultRowHeight="16"/>
  <cols>
    <col min="2" max="2" width="12.33203125" bestFit="1" customWidth="1"/>
  </cols>
  <sheetData>
    <row r="1" spans="1:2">
      <c r="A1" t="s">
        <v>27</v>
      </c>
      <c r="B1" t="s">
        <v>28</v>
      </c>
    </row>
    <row r="2" spans="1:2">
      <c r="A2">
        <v>1</v>
      </c>
      <c r="B2">
        <v>1</v>
      </c>
    </row>
    <row r="3" spans="1:2">
      <c r="A3">
        <v>2</v>
      </c>
      <c r="B3">
        <v>2</v>
      </c>
    </row>
    <row r="4" spans="1:2">
      <c r="A4">
        <v>3</v>
      </c>
      <c r="B4">
        <v>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45F359-CA05-2247-86C6-92433A84B0A2}">
  <dimension ref="A1:F20"/>
  <sheetViews>
    <sheetView zoomScale="140" workbookViewId="0">
      <selection activeCell="F6" sqref="A1:F6"/>
    </sheetView>
  </sheetViews>
  <sheetFormatPr baseColWidth="10" defaultColWidth="11" defaultRowHeight="16"/>
  <cols>
    <col min="3" max="3" width="22.5" customWidth="1"/>
    <col min="4" max="4" width="13.33203125" bestFit="1" customWidth="1"/>
    <col min="5" max="5" width="14.5" bestFit="1" customWidth="1"/>
  </cols>
  <sheetData>
    <row r="1" spans="1:6">
      <c r="A1" t="s">
        <v>0</v>
      </c>
      <c r="B1" t="s">
        <v>2</v>
      </c>
      <c r="C1" t="s">
        <v>3</v>
      </c>
      <c r="D1" t="s">
        <v>21</v>
      </c>
    </row>
    <row r="2" spans="1:6">
      <c r="A2" t="s">
        <v>1</v>
      </c>
      <c r="B2">
        <v>1</v>
      </c>
      <c r="C2">
        <v>2</v>
      </c>
      <c r="D2" s="1" t="s">
        <v>5</v>
      </c>
      <c r="F2" t="s">
        <v>8</v>
      </c>
    </row>
    <row r="3" spans="1:6">
      <c r="A3" t="s">
        <v>1</v>
      </c>
      <c r="B3">
        <v>2</v>
      </c>
      <c r="C3">
        <v>2</v>
      </c>
      <c r="D3" s="2" t="s">
        <v>6</v>
      </c>
      <c r="F3" t="s">
        <v>9</v>
      </c>
    </row>
    <row r="4" spans="1:6">
      <c r="A4" t="s">
        <v>1</v>
      </c>
      <c r="B4">
        <v>3</v>
      </c>
      <c r="C4">
        <v>1</v>
      </c>
      <c r="D4" s="2" t="s">
        <v>7</v>
      </c>
      <c r="F4" t="s">
        <v>10</v>
      </c>
    </row>
    <row r="5" spans="1:6">
      <c r="A5" t="s">
        <v>1</v>
      </c>
      <c r="B5">
        <v>4</v>
      </c>
      <c r="C5">
        <v>1</v>
      </c>
      <c r="D5" s="1" t="s">
        <v>11</v>
      </c>
      <c r="F5" t="s">
        <v>12</v>
      </c>
    </row>
    <row r="6" spans="1:6">
      <c r="A6" t="s">
        <v>1</v>
      </c>
      <c r="B6">
        <v>5</v>
      </c>
      <c r="C6">
        <v>1</v>
      </c>
      <c r="D6" s="1" t="s">
        <v>13</v>
      </c>
      <c r="F6" t="s">
        <v>14</v>
      </c>
    </row>
    <row r="18" spans="4:5">
      <c r="E18" s="6"/>
    </row>
    <row r="20" spans="4:5">
      <c r="D20" s="6"/>
    </row>
  </sheetData>
  <pageMargins left="0.7" right="0.7" top="0.75" bottom="0.75" header="0.3" footer="0.3"/>
  <pageSetup paperSize="9" orientation="portrait" horizontalDpi="0" verticalDpi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91C305-141D-384C-BB9E-30507F3FCDCC}">
  <dimension ref="A1:X32"/>
  <sheetViews>
    <sheetView zoomScale="80" workbookViewId="0">
      <selection activeCell="C24" sqref="C24"/>
    </sheetView>
  </sheetViews>
  <sheetFormatPr baseColWidth="10" defaultColWidth="11" defaultRowHeight="16"/>
  <cols>
    <col min="5" max="5" width="11.83203125" customWidth="1"/>
    <col min="6" max="6" width="11.5" customWidth="1"/>
  </cols>
  <sheetData>
    <row r="1" spans="1:6">
      <c r="A1" t="s">
        <v>15</v>
      </c>
      <c r="B1" t="s">
        <v>16</v>
      </c>
      <c r="C1" t="s">
        <v>17</v>
      </c>
      <c r="D1" t="s">
        <v>18</v>
      </c>
      <c r="E1" t="s">
        <v>19</v>
      </c>
      <c r="F1" t="s">
        <v>20</v>
      </c>
    </row>
    <row r="2" spans="1:6">
      <c r="A2">
        <v>1</v>
      </c>
      <c r="B2">
        <v>2</v>
      </c>
      <c r="C2">
        <v>3</v>
      </c>
      <c r="D2">
        <v>45</v>
      </c>
      <c r="E2">
        <v>3</v>
      </c>
      <c r="F2">
        <v>1</v>
      </c>
    </row>
    <row r="3" spans="1:6">
      <c r="A3">
        <v>2</v>
      </c>
      <c r="B3">
        <v>3</v>
      </c>
      <c r="C3">
        <v>1</v>
      </c>
      <c r="D3">
        <v>80</v>
      </c>
      <c r="E3">
        <v>3</v>
      </c>
      <c r="F3">
        <v>0</v>
      </c>
    </row>
    <row r="4" spans="1:6">
      <c r="A4">
        <v>3</v>
      </c>
      <c r="B4">
        <v>3</v>
      </c>
      <c r="C4">
        <v>5</v>
      </c>
      <c r="D4">
        <v>100</v>
      </c>
      <c r="E4">
        <v>2</v>
      </c>
      <c r="F4">
        <v>0</v>
      </c>
    </row>
    <row r="5" spans="1:6">
      <c r="A5">
        <v>4</v>
      </c>
      <c r="B5">
        <v>1</v>
      </c>
      <c r="C5">
        <v>3</v>
      </c>
      <c r="D5">
        <v>70</v>
      </c>
      <c r="E5">
        <v>4</v>
      </c>
      <c r="F5">
        <v>0</v>
      </c>
    </row>
    <row r="6" spans="1:6">
      <c r="A6">
        <v>5</v>
      </c>
      <c r="B6">
        <v>3</v>
      </c>
      <c r="C6">
        <v>1</v>
      </c>
      <c r="D6">
        <v>110</v>
      </c>
      <c r="E6">
        <v>1</v>
      </c>
      <c r="F6">
        <v>0</v>
      </c>
    </row>
    <row r="7" spans="1:6">
      <c r="A7">
        <v>6</v>
      </c>
      <c r="B7">
        <v>1</v>
      </c>
      <c r="C7">
        <v>3</v>
      </c>
      <c r="D7">
        <v>35</v>
      </c>
      <c r="E7">
        <v>1</v>
      </c>
      <c r="F7">
        <v>1</v>
      </c>
    </row>
    <row r="8" spans="1:6">
      <c r="A8">
        <v>7</v>
      </c>
      <c r="B8">
        <v>1</v>
      </c>
      <c r="C8">
        <v>3</v>
      </c>
      <c r="D8">
        <v>45</v>
      </c>
      <c r="E8">
        <v>1</v>
      </c>
      <c r="F8">
        <v>1</v>
      </c>
    </row>
    <row r="9" spans="1:6">
      <c r="A9">
        <v>8</v>
      </c>
      <c r="B9">
        <v>2</v>
      </c>
      <c r="C9">
        <v>3</v>
      </c>
      <c r="D9">
        <v>60</v>
      </c>
      <c r="E9">
        <v>2</v>
      </c>
      <c r="F9">
        <v>1</v>
      </c>
    </row>
    <row r="10" spans="1:6">
      <c r="A10">
        <v>9</v>
      </c>
      <c r="B10">
        <v>2</v>
      </c>
      <c r="C10">
        <v>3</v>
      </c>
      <c r="D10">
        <v>40</v>
      </c>
      <c r="E10">
        <v>3</v>
      </c>
      <c r="F10">
        <v>0</v>
      </c>
    </row>
    <row r="11" spans="1:6">
      <c r="A11">
        <v>10</v>
      </c>
      <c r="B11">
        <v>5</v>
      </c>
      <c r="C11">
        <v>4</v>
      </c>
      <c r="D11">
        <v>50</v>
      </c>
      <c r="E11">
        <v>1</v>
      </c>
      <c r="F11">
        <v>1</v>
      </c>
    </row>
    <row r="12" spans="1:6">
      <c r="A12">
        <v>11</v>
      </c>
      <c r="B12">
        <v>1</v>
      </c>
      <c r="C12">
        <v>2</v>
      </c>
      <c r="D12">
        <v>20</v>
      </c>
      <c r="E12">
        <v>1</v>
      </c>
      <c r="F12">
        <v>0</v>
      </c>
    </row>
    <row r="13" spans="1:6">
      <c r="A13">
        <v>12</v>
      </c>
      <c r="B13">
        <v>5</v>
      </c>
      <c r="C13">
        <v>2</v>
      </c>
      <c r="D13">
        <v>30</v>
      </c>
      <c r="E13">
        <v>2</v>
      </c>
      <c r="F13">
        <v>1</v>
      </c>
    </row>
    <row r="14" spans="1:6">
      <c r="A14">
        <v>13</v>
      </c>
      <c r="B14">
        <v>3</v>
      </c>
      <c r="C14">
        <v>2</v>
      </c>
      <c r="D14">
        <v>20</v>
      </c>
      <c r="E14">
        <v>2</v>
      </c>
      <c r="F14">
        <v>1</v>
      </c>
    </row>
    <row r="15" spans="1:6">
      <c r="A15">
        <v>14</v>
      </c>
      <c r="B15">
        <v>1</v>
      </c>
      <c r="C15">
        <v>5</v>
      </c>
      <c r="D15">
        <v>50</v>
      </c>
      <c r="E15">
        <v>1</v>
      </c>
      <c r="F15">
        <v>0</v>
      </c>
    </row>
    <row r="16" spans="1:6">
      <c r="A16">
        <v>15</v>
      </c>
      <c r="B16">
        <v>3</v>
      </c>
      <c r="C16">
        <v>4</v>
      </c>
      <c r="D16">
        <v>35</v>
      </c>
      <c r="E16">
        <v>3</v>
      </c>
      <c r="F16">
        <v>0</v>
      </c>
    </row>
    <row r="17" spans="1:24">
      <c r="A17">
        <v>16</v>
      </c>
      <c r="B17">
        <v>3</v>
      </c>
      <c r="C17">
        <v>4</v>
      </c>
      <c r="D17">
        <v>20</v>
      </c>
      <c r="E17">
        <v>3</v>
      </c>
      <c r="F17">
        <v>1</v>
      </c>
    </row>
    <row r="18" spans="1:24">
      <c r="A18">
        <v>17</v>
      </c>
      <c r="B18">
        <v>3</v>
      </c>
      <c r="C18">
        <v>2</v>
      </c>
      <c r="D18">
        <v>65</v>
      </c>
      <c r="E18">
        <v>2</v>
      </c>
      <c r="F18">
        <v>0</v>
      </c>
    </row>
    <row r="19" spans="1:24">
      <c r="A19">
        <v>18</v>
      </c>
      <c r="B19">
        <v>4</v>
      </c>
      <c r="C19">
        <v>2</v>
      </c>
      <c r="D19">
        <v>90</v>
      </c>
      <c r="E19">
        <v>1</v>
      </c>
      <c r="F19">
        <v>0</v>
      </c>
    </row>
    <row r="20" spans="1:24">
      <c r="A20">
        <v>19</v>
      </c>
      <c r="B20">
        <v>5</v>
      </c>
      <c r="C20">
        <v>1</v>
      </c>
      <c r="D20">
        <v>15</v>
      </c>
      <c r="E20">
        <v>2</v>
      </c>
      <c r="F20">
        <v>0</v>
      </c>
    </row>
    <row r="21" spans="1:24">
      <c r="A21">
        <v>20</v>
      </c>
      <c r="B21">
        <v>3</v>
      </c>
      <c r="C21">
        <v>4</v>
      </c>
      <c r="D21">
        <v>60</v>
      </c>
      <c r="E21">
        <v>1</v>
      </c>
      <c r="F21">
        <v>0</v>
      </c>
    </row>
    <row r="23" spans="1:24">
      <c r="M23" s="3"/>
      <c r="N23" s="3"/>
      <c r="O23" s="3"/>
      <c r="P23" s="3"/>
      <c r="Q23" s="3"/>
      <c r="R23" s="3"/>
    </row>
    <row r="24" spans="1:24"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</row>
    <row r="25" spans="1:24"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</row>
    <row r="26" spans="1:24"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</row>
    <row r="27" spans="1:24"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</row>
    <row r="28" spans="1:24"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</row>
    <row r="29" spans="1:24"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</row>
    <row r="30" spans="1:24"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</row>
    <row r="31" spans="1:24"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</row>
    <row r="32" spans="1:24"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01B7F4-A8F2-E74F-93E1-1ACB4B99B891}">
  <dimension ref="A1:F3"/>
  <sheetViews>
    <sheetView workbookViewId="0">
      <selection activeCell="C3" sqref="C3"/>
    </sheetView>
  </sheetViews>
  <sheetFormatPr baseColWidth="10" defaultColWidth="11" defaultRowHeight="16"/>
  <sheetData>
    <row r="1" spans="1:6">
      <c r="A1" t="s">
        <v>15</v>
      </c>
      <c r="B1" t="s">
        <v>16</v>
      </c>
      <c r="C1" t="s">
        <v>17</v>
      </c>
      <c r="D1" t="s">
        <v>18</v>
      </c>
      <c r="E1" t="s">
        <v>19</v>
      </c>
      <c r="F1" t="s">
        <v>20</v>
      </c>
    </row>
    <row r="2" spans="1:6">
      <c r="A2">
        <v>1</v>
      </c>
      <c r="B2">
        <v>1</v>
      </c>
      <c r="C2">
        <v>2</v>
      </c>
      <c r="D2">
        <v>45</v>
      </c>
      <c r="E2">
        <v>3</v>
      </c>
      <c r="F2">
        <v>1</v>
      </c>
    </row>
    <row r="3" spans="1:6">
      <c r="A3">
        <v>2</v>
      </c>
      <c r="B3">
        <v>2</v>
      </c>
      <c r="C3">
        <v>1</v>
      </c>
      <c r="D3">
        <v>80</v>
      </c>
      <c r="E3">
        <v>3</v>
      </c>
      <c r="F3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154E97-9715-C248-8300-688A466787B4}">
  <dimension ref="A1:K6"/>
  <sheetViews>
    <sheetView workbookViewId="0">
      <selection activeCell="L6" sqref="L6"/>
    </sheetView>
  </sheetViews>
  <sheetFormatPr baseColWidth="10" defaultColWidth="11" defaultRowHeight="16"/>
  <cols>
    <col min="3" max="3" width="12.5" customWidth="1"/>
  </cols>
  <sheetData>
    <row r="1" spans="1:11">
      <c r="A1" t="s">
        <v>0</v>
      </c>
      <c r="B1" t="s">
        <v>2</v>
      </c>
      <c r="C1" t="s">
        <v>3</v>
      </c>
      <c r="D1" t="s">
        <v>4</v>
      </c>
      <c r="I1" t="s">
        <v>21</v>
      </c>
    </row>
    <row r="2" spans="1:11">
      <c r="A2" t="s">
        <v>1</v>
      </c>
      <c r="B2">
        <v>1</v>
      </c>
      <c r="C2">
        <v>2</v>
      </c>
      <c r="D2" t="s">
        <v>22</v>
      </c>
      <c r="I2" s="1" t="s">
        <v>5</v>
      </c>
      <c r="K2" t="s">
        <v>8</v>
      </c>
    </row>
    <row r="3" spans="1:11">
      <c r="A3" t="s">
        <v>1</v>
      </c>
      <c r="B3">
        <v>2</v>
      </c>
      <c r="C3">
        <v>2</v>
      </c>
      <c r="D3" t="s">
        <v>23</v>
      </c>
      <c r="I3" s="2" t="s">
        <v>6</v>
      </c>
      <c r="K3" t="s">
        <v>9</v>
      </c>
    </row>
    <row r="4" spans="1:11">
      <c r="I4" s="2"/>
    </row>
    <row r="5" spans="1:11">
      <c r="I5" s="1"/>
    </row>
    <row r="6" spans="1:11">
      <c r="I6" s="1"/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A04F2A-161E-4502-9547-1DD0A31CBA64}">
  <dimension ref="A1:G6"/>
  <sheetViews>
    <sheetView workbookViewId="0">
      <selection activeCell="E17" sqref="E17"/>
    </sheetView>
  </sheetViews>
  <sheetFormatPr baseColWidth="10" defaultColWidth="11" defaultRowHeight="16"/>
  <cols>
    <col min="3" max="3" width="12.5" customWidth="1"/>
    <col min="4" max="4" width="17.5" bestFit="1" customWidth="1"/>
    <col min="5" max="5" width="20.5" bestFit="1" customWidth="1"/>
  </cols>
  <sheetData>
    <row r="1" spans="1:7">
      <c r="A1" t="s">
        <v>0</v>
      </c>
      <c r="B1" t="s">
        <v>2</v>
      </c>
      <c r="C1" t="s">
        <v>3</v>
      </c>
      <c r="D1" t="s">
        <v>4</v>
      </c>
      <c r="E1" t="s">
        <v>21</v>
      </c>
    </row>
    <row r="2" spans="1:7">
      <c r="A2" t="s">
        <v>1</v>
      </c>
      <c r="B2">
        <v>1</v>
      </c>
      <c r="C2">
        <v>2</v>
      </c>
      <c r="D2" t="s">
        <v>22</v>
      </c>
      <c r="E2" s="1" t="s">
        <v>5</v>
      </c>
      <c r="G2" t="s">
        <v>8</v>
      </c>
    </row>
    <row r="3" spans="1:7">
      <c r="A3" t="s">
        <v>1</v>
      </c>
      <c r="B3">
        <v>2</v>
      </c>
      <c r="C3">
        <v>2</v>
      </c>
      <c r="D3" t="s">
        <v>23</v>
      </c>
      <c r="E3" s="2" t="s">
        <v>6</v>
      </c>
      <c r="G3" t="s">
        <v>9</v>
      </c>
    </row>
    <row r="4" spans="1:7">
      <c r="A4" t="s">
        <v>1</v>
      </c>
      <c r="B4">
        <v>3</v>
      </c>
      <c r="C4">
        <v>2</v>
      </c>
      <c r="D4" t="s">
        <v>24</v>
      </c>
      <c r="E4" s="2" t="s">
        <v>7</v>
      </c>
      <c r="G4" t="s">
        <v>10</v>
      </c>
    </row>
    <row r="5" spans="1:7">
      <c r="A5" t="s">
        <v>1</v>
      </c>
      <c r="B5">
        <v>4</v>
      </c>
      <c r="C5">
        <v>2</v>
      </c>
      <c r="D5" t="s">
        <v>25</v>
      </c>
      <c r="E5" s="1" t="s">
        <v>11</v>
      </c>
      <c r="G5" t="s">
        <v>12</v>
      </c>
    </row>
    <row r="6" spans="1:7">
      <c r="A6" t="s">
        <v>1</v>
      </c>
      <c r="B6">
        <v>5</v>
      </c>
      <c r="C6">
        <v>2</v>
      </c>
      <c r="D6" t="s">
        <v>26</v>
      </c>
      <c r="E6" s="1" t="s">
        <v>13</v>
      </c>
      <c r="G6" t="s">
        <v>14</v>
      </c>
    </row>
  </sheetData>
  <pageMargins left="0.7" right="0.7" top="0.75" bottom="0.75" header="0.3" footer="0.3"/>
  <pageSetup paperSize="9" orientation="portrait" horizontalDpi="0" verticalDpi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3ABDEA-DD83-4C31-B1A2-B93032C8B1F1}">
  <dimension ref="A1:X32"/>
  <sheetViews>
    <sheetView zoomScale="80" workbookViewId="0">
      <selection activeCell="D7" sqref="D7"/>
    </sheetView>
  </sheetViews>
  <sheetFormatPr baseColWidth="10" defaultColWidth="11" defaultRowHeight="16"/>
  <cols>
    <col min="5" max="5" width="11.83203125" customWidth="1"/>
    <col min="6" max="6" width="11.5" customWidth="1"/>
  </cols>
  <sheetData>
    <row r="1" spans="1:12">
      <c r="A1" t="s">
        <v>15</v>
      </c>
      <c r="B1" t="s">
        <v>16</v>
      </c>
      <c r="C1" t="s">
        <v>17</v>
      </c>
      <c r="D1" t="s">
        <v>18</v>
      </c>
      <c r="E1" t="s">
        <v>19</v>
      </c>
      <c r="F1" t="s">
        <v>20</v>
      </c>
      <c r="I1" t="s">
        <v>55</v>
      </c>
    </row>
    <row r="2" spans="1:12">
      <c r="A2">
        <v>1</v>
      </c>
      <c r="B2">
        <v>1</v>
      </c>
      <c r="C2">
        <v>3</v>
      </c>
      <c r="D2">
        <f ca="1">RANDBETWEEN(10,120)</f>
        <v>27</v>
      </c>
      <c r="E2">
        <v>3</v>
      </c>
      <c r="F2">
        <v>1</v>
      </c>
      <c r="I2">
        <f ca="1">RANDBETWEEN(1,5)</f>
        <v>1</v>
      </c>
      <c r="K2">
        <f ca="1">RANDBETWEEN(1,5)</f>
        <v>2</v>
      </c>
      <c r="L2">
        <f ca="1">RANDBETWEEN(1,5)</f>
        <v>2</v>
      </c>
    </row>
    <row r="3" spans="1:12">
      <c r="A3">
        <v>2</v>
      </c>
      <c r="B3">
        <v>5</v>
      </c>
      <c r="C3">
        <v>4</v>
      </c>
      <c r="D3">
        <f t="shared" ref="D3:D21" ca="1" si="0">RANDBETWEEN(10,120)</f>
        <v>63</v>
      </c>
      <c r="E3">
        <v>3</v>
      </c>
      <c r="F3">
        <v>0</v>
      </c>
      <c r="I3">
        <f t="shared" ref="I3:I21" ca="1" si="1">RANDBETWEEN(1,5)</f>
        <v>5</v>
      </c>
      <c r="K3">
        <f t="shared" ref="K3:L21" ca="1" si="2">RANDBETWEEN(1,5)</f>
        <v>4</v>
      </c>
      <c r="L3">
        <f t="shared" ca="1" si="2"/>
        <v>3</v>
      </c>
    </row>
    <row r="4" spans="1:12">
      <c r="A4">
        <v>3</v>
      </c>
      <c r="B4">
        <v>3</v>
      </c>
      <c r="C4">
        <v>1</v>
      </c>
      <c r="D4">
        <f t="shared" ca="1" si="0"/>
        <v>68</v>
      </c>
      <c r="E4">
        <v>2</v>
      </c>
      <c r="F4">
        <v>0</v>
      </c>
      <c r="I4">
        <f t="shared" ca="1" si="1"/>
        <v>2</v>
      </c>
      <c r="K4">
        <f t="shared" ca="1" si="2"/>
        <v>1</v>
      </c>
      <c r="L4">
        <f t="shared" ca="1" si="2"/>
        <v>4</v>
      </c>
    </row>
    <row r="5" spans="1:12">
      <c r="A5">
        <v>4</v>
      </c>
      <c r="B5">
        <v>1</v>
      </c>
      <c r="C5">
        <v>3</v>
      </c>
      <c r="D5">
        <f t="shared" ca="1" si="0"/>
        <v>73</v>
      </c>
      <c r="E5">
        <v>4</v>
      </c>
      <c r="F5">
        <v>0</v>
      </c>
      <c r="I5">
        <f t="shared" ca="1" si="1"/>
        <v>2</v>
      </c>
      <c r="K5">
        <f t="shared" ca="1" si="2"/>
        <v>3</v>
      </c>
      <c r="L5">
        <f t="shared" ca="1" si="2"/>
        <v>3</v>
      </c>
    </row>
    <row r="6" spans="1:12">
      <c r="A6">
        <v>5</v>
      </c>
      <c r="B6">
        <v>4</v>
      </c>
      <c r="C6">
        <v>1</v>
      </c>
      <c r="D6">
        <f t="shared" ca="1" si="0"/>
        <v>63</v>
      </c>
      <c r="E6">
        <v>1</v>
      </c>
      <c r="F6">
        <v>0</v>
      </c>
      <c r="I6">
        <f t="shared" ca="1" si="1"/>
        <v>2</v>
      </c>
      <c r="K6">
        <f t="shared" ca="1" si="2"/>
        <v>1</v>
      </c>
      <c r="L6">
        <f t="shared" ca="1" si="2"/>
        <v>3</v>
      </c>
    </row>
    <row r="7" spans="1:12">
      <c r="A7">
        <v>6</v>
      </c>
      <c r="B7">
        <v>4</v>
      </c>
      <c r="C7">
        <v>2</v>
      </c>
      <c r="D7">
        <f t="shared" ca="1" si="0"/>
        <v>50</v>
      </c>
      <c r="E7">
        <v>1</v>
      </c>
      <c r="F7">
        <v>1</v>
      </c>
      <c r="I7">
        <f t="shared" ca="1" si="1"/>
        <v>2</v>
      </c>
      <c r="K7">
        <f t="shared" ca="1" si="2"/>
        <v>3</v>
      </c>
      <c r="L7">
        <f t="shared" ca="1" si="2"/>
        <v>1</v>
      </c>
    </row>
    <row r="8" spans="1:12">
      <c r="A8">
        <v>7</v>
      </c>
      <c r="B8">
        <v>4</v>
      </c>
      <c r="C8">
        <v>3</v>
      </c>
      <c r="D8">
        <f t="shared" ca="1" si="0"/>
        <v>29</v>
      </c>
      <c r="E8">
        <v>1</v>
      </c>
      <c r="F8">
        <v>1</v>
      </c>
      <c r="I8">
        <f t="shared" ca="1" si="1"/>
        <v>3</v>
      </c>
      <c r="K8">
        <f t="shared" ca="1" si="2"/>
        <v>3</v>
      </c>
      <c r="L8">
        <f t="shared" ca="1" si="2"/>
        <v>1</v>
      </c>
    </row>
    <row r="9" spans="1:12">
      <c r="A9">
        <v>8</v>
      </c>
      <c r="B9">
        <v>4</v>
      </c>
      <c r="C9">
        <v>2</v>
      </c>
      <c r="D9">
        <f t="shared" ca="1" si="0"/>
        <v>43</v>
      </c>
      <c r="E9">
        <v>2</v>
      </c>
      <c r="F9">
        <v>1</v>
      </c>
      <c r="I9">
        <f t="shared" ca="1" si="1"/>
        <v>3</v>
      </c>
      <c r="K9">
        <f t="shared" ca="1" si="2"/>
        <v>4</v>
      </c>
      <c r="L9">
        <f t="shared" ca="1" si="2"/>
        <v>2</v>
      </c>
    </row>
    <row r="10" spans="1:12">
      <c r="A10">
        <v>9</v>
      </c>
      <c r="B10">
        <v>3</v>
      </c>
      <c r="C10">
        <v>4</v>
      </c>
      <c r="D10">
        <f t="shared" ca="1" si="0"/>
        <v>95</v>
      </c>
      <c r="E10">
        <v>3</v>
      </c>
      <c r="F10">
        <v>0</v>
      </c>
      <c r="I10">
        <f t="shared" ca="1" si="1"/>
        <v>1</v>
      </c>
      <c r="K10">
        <f t="shared" ca="1" si="2"/>
        <v>1</v>
      </c>
      <c r="L10">
        <f t="shared" ca="1" si="2"/>
        <v>5</v>
      </c>
    </row>
    <row r="11" spans="1:12">
      <c r="A11">
        <v>10</v>
      </c>
      <c r="B11">
        <v>3</v>
      </c>
      <c r="C11">
        <v>4</v>
      </c>
      <c r="D11">
        <f t="shared" ca="1" si="0"/>
        <v>67</v>
      </c>
      <c r="E11">
        <v>1</v>
      </c>
      <c r="F11">
        <v>1</v>
      </c>
      <c r="I11">
        <f t="shared" ca="1" si="1"/>
        <v>5</v>
      </c>
      <c r="K11">
        <f t="shared" ca="1" si="2"/>
        <v>1</v>
      </c>
      <c r="L11">
        <f t="shared" ca="1" si="2"/>
        <v>5</v>
      </c>
    </row>
    <row r="12" spans="1:12">
      <c r="A12">
        <v>11</v>
      </c>
      <c r="B12">
        <v>3</v>
      </c>
      <c r="C12">
        <v>2</v>
      </c>
      <c r="D12">
        <f t="shared" ca="1" si="0"/>
        <v>29</v>
      </c>
      <c r="E12">
        <v>1</v>
      </c>
      <c r="F12">
        <v>0</v>
      </c>
      <c r="I12">
        <f t="shared" ca="1" si="1"/>
        <v>2</v>
      </c>
      <c r="K12">
        <f t="shared" ca="1" si="2"/>
        <v>4</v>
      </c>
      <c r="L12">
        <f t="shared" ca="1" si="2"/>
        <v>5</v>
      </c>
    </row>
    <row r="13" spans="1:12">
      <c r="A13">
        <v>12</v>
      </c>
      <c r="B13">
        <v>4</v>
      </c>
      <c r="C13">
        <v>5</v>
      </c>
      <c r="D13">
        <f t="shared" ca="1" si="0"/>
        <v>42</v>
      </c>
      <c r="E13">
        <v>2</v>
      </c>
      <c r="F13">
        <v>1</v>
      </c>
      <c r="I13">
        <f t="shared" ca="1" si="1"/>
        <v>1</v>
      </c>
      <c r="K13">
        <f t="shared" ca="1" si="2"/>
        <v>1</v>
      </c>
      <c r="L13">
        <f t="shared" ca="1" si="2"/>
        <v>3</v>
      </c>
    </row>
    <row r="14" spans="1:12">
      <c r="A14">
        <v>13</v>
      </c>
      <c r="B14">
        <v>4</v>
      </c>
      <c r="C14">
        <v>2</v>
      </c>
      <c r="D14">
        <f t="shared" ca="1" si="0"/>
        <v>45</v>
      </c>
      <c r="E14">
        <v>2</v>
      </c>
      <c r="F14">
        <v>1</v>
      </c>
      <c r="I14">
        <f t="shared" ca="1" si="1"/>
        <v>3</v>
      </c>
      <c r="K14">
        <f t="shared" ca="1" si="2"/>
        <v>5</v>
      </c>
      <c r="L14">
        <f t="shared" ca="1" si="2"/>
        <v>4</v>
      </c>
    </row>
    <row r="15" spans="1:12">
      <c r="A15">
        <v>14</v>
      </c>
      <c r="B15">
        <v>3</v>
      </c>
      <c r="C15">
        <v>2</v>
      </c>
      <c r="D15">
        <f t="shared" ca="1" si="0"/>
        <v>62</v>
      </c>
      <c r="E15">
        <v>1</v>
      </c>
      <c r="F15">
        <v>0</v>
      </c>
      <c r="I15">
        <f t="shared" ca="1" si="1"/>
        <v>3</v>
      </c>
      <c r="K15">
        <f t="shared" ca="1" si="2"/>
        <v>5</v>
      </c>
      <c r="L15">
        <f t="shared" ca="1" si="2"/>
        <v>3</v>
      </c>
    </row>
    <row r="16" spans="1:12">
      <c r="A16">
        <v>15</v>
      </c>
      <c r="B16">
        <v>4</v>
      </c>
      <c r="C16">
        <v>5</v>
      </c>
      <c r="D16">
        <f t="shared" ca="1" si="0"/>
        <v>87</v>
      </c>
      <c r="E16">
        <v>3</v>
      </c>
      <c r="F16">
        <v>0</v>
      </c>
      <c r="I16">
        <f t="shared" ca="1" si="1"/>
        <v>3</v>
      </c>
      <c r="K16">
        <f t="shared" ca="1" si="2"/>
        <v>3</v>
      </c>
      <c r="L16">
        <f t="shared" ca="1" si="2"/>
        <v>5</v>
      </c>
    </row>
    <row r="17" spans="1:24">
      <c r="A17">
        <v>16</v>
      </c>
      <c r="B17">
        <v>4</v>
      </c>
      <c r="C17">
        <v>1</v>
      </c>
      <c r="D17">
        <f t="shared" ca="1" si="0"/>
        <v>94</v>
      </c>
      <c r="E17">
        <v>3</v>
      </c>
      <c r="F17">
        <v>1</v>
      </c>
      <c r="I17">
        <f t="shared" ca="1" si="1"/>
        <v>3</v>
      </c>
      <c r="K17">
        <f t="shared" ca="1" si="2"/>
        <v>3</v>
      </c>
      <c r="L17">
        <f t="shared" ca="1" si="2"/>
        <v>4</v>
      </c>
    </row>
    <row r="18" spans="1:24">
      <c r="A18">
        <v>17</v>
      </c>
      <c r="B18">
        <v>4</v>
      </c>
      <c r="C18">
        <v>2</v>
      </c>
      <c r="D18">
        <f t="shared" ca="1" si="0"/>
        <v>72</v>
      </c>
      <c r="E18">
        <v>2</v>
      </c>
      <c r="F18">
        <v>0</v>
      </c>
      <c r="I18">
        <f t="shared" ca="1" si="1"/>
        <v>2</v>
      </c>
      <c r="K18">
        <f t="shared" ca="1" si="2"/>
        <v>3</v>
      </c>
      <c r="L18">
        <f t="shared" ca="1" si="2"/>
        <v>2</v>
      </c>
    </row>
    <row r="19" spans="1:24">
      <c r="A19">
        <v>18</v>
      </c>
      <c r="B19">
        <v>2</v>
      </c>
      <c r="C19">
        <v>5</v>
      </c>
      <c r="D19">
        <f t="shared" ca="1" si="0"/>
        <v>68</v>
      </c>
      <c r="E19">
        <v>1</v>
      </c>
      <c r="F19">
        <v>0</v>
      </c>
      <c r="I19">
        <f t="shared" ca="1" si="1"/>
        <v>2</v>
      </c>
      <c r="K19">
        <f t="shared" ca="1" si="2"/>
        <v>3</v>
      </c>
      <c r="L19">
        <f t="shared" ca="1" si="2"/>
        <v>1</v>
      </c>
    </row>
    <row r="20" spans="1:24">
      <c r="A20">
        <v>19</v>
      </c>
      <c r="B20">
        <v>2</v>
      </c>
      <c r="C20">
        <v>3</v>
      </c>
      <c r="D20">
        <f t="shared" ca="1" si="0"/>
        <v>94</v>
      </c>
      <c r="E20">
        <v>2</v>
      </c>
      <c r="F20">
        <v>0</v>
      </c>
      <c r="I20">
        <f t="shared" ca="1" si="1"/>
        <v>5</v>
      </c>
      <c r="K20">
        <f t="shared" ca="1" si="2"/>
        <v>2</v>
      </c>
      <c r="L20">
        <f t="shared" ca="1" si="2"/>
        <v>1</v>
      </c>
    </row>
    <row r="21" spans="1:24">
      <c r="A21">
        <v>20</v>
      </c>
      <c r="B21">
        <v>4</v>
      </c>
      <c r="C21">
        <v>1</v>
      </c>
      <c r="D21">
        <f t="shared" ca="1" si="0"/>
        <v>118</v>
      </c>
      <c r="E21">
        <v>1</v>
      </c>
      <c r="F21">
        <v>0</v>
      </c>
      <c r="I21">
        <f t="shared" ca="1" si="1"/>
        <v>4</v>
      </c>
      <c r="K21">
        <f t="shared" ca="1" si="2"/>
        <v>4</v>
      </c>
      <c r="L21">
        <f t="shared" ca="1" si="2"/>
        <v>4</v>
      </c>
    </row>
    <row r="23" spans="1:24">
      <c r="M23" s="3"/>
      <c r="N23" s="3"/>
      <c r="O23" s="3"/>
      <c r="P23" s="3"/>
      <c r="Q23" s="3"/>
      <c r="R23" s="3"/>
    </row>
    <row r="24" spans="1:24"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</row>
    <row r="25" spans="1:24"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</row>
    <row r="26" spans="1:24"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</row>
    <row r="27" spans="1:24"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</row>
    <row r="28" spans="1:24"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</row>
    <row r="29" spans="1:24"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</row>
    <row r="30" spans="1:24"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</row>
    <row r="31" spans="1:24"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</row>
    <row r="32" spans="1:24"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3CF6DF-5DC6-4F82-AD2C-07BC625FD2D9}">
  <dimension ref="A1:F8"/>
  <sheetViews>
    <sheetView topLeftCell="A4" zoomScale="133" workbookViewId="0">
      <selection activeCell="B6" sqref="B6"/>
    </sheetView>
  </sheetViews>
  <sheetFormatPr baseColWidth="10" defaultColWidth="11" defaultRowHeight="16"/>
  <cols>
    <col min="5" max="5" width="19.6640625" bestFit="1" customWidth="1"/>
  </cols>
  <sheetData>
    <row r="1" spans="1:6">
      <c r="A1" t="s">
        <v>15</v>
      </c>
      <c r="B1" t="s">
        <v>16</v>
      </c>
      <c r="C1" t="s">
        <v>17</v>
      </c>
      <c r="D1" t="s">
        <v>18</v>
      </c>
      <c r="E1" t="s">
        <v>19</v>
      </c>
      <c r="F1" t="s">
        <v>20</v>
      </c>
    </row>
    <row r="2" spans="1:6">
      <c r="A2">
        <v>1</v>
      </c>
      <c r="B2">
        <v>2</v>
      </c>
      <c r="C2">
        <v>3</v>
      </c>
      <c r="D2">
        <v>25</v>
      </c>
      <c r="E2">
        <v>3</v>
      </c>
      <c r="F2">
        <v>1</v>
      </c>
    </row>
    <row r="3" spans="1:6">
      <c r="A3">
        <v>2</v>
      </c>
      <c r="B3">
        <v>3</v>
      </c>
      <c r="C3">
        <v>1</v>
      </c>
      <c r="D3">
        <v>50</v>
      </c>
      <c r="E3">
        <v>3</v>
      </c>
      <c r="F3">
        <v>0</v>
      </c>
    </row>
    <row r="4" spans="1:6">
      <c r="A4">
        <v>3</v>
      </c>
      <c r="B4">
        <v>3</v>
      </c>
      <c r="C4">
        <v>5</v>
      </c>
      <c r="D4">
        <v>70</v>
      </c>
      <c r="E4">
        <v>2</v>
      </c>
      <c r="F4">
        <v>1</v>
      </c>
    </row>
    <row r="5" spans="1:6">
      <c r="A5">
        <v>4</v>
      </c>
      <c r="B5">
        <v>1</v>
      </c>
      <c r="C5">
        <v>4</v>
      </c>
      <c r="D5">
        <v>40</v>
      </c>
      <c r="E5">
        <v>4</v>
      </c>
      <c r="F5">
        <v>1</v>
      </c>
    </row>
    <row r="6" spans="1:6">
      <c r="A6">
        <v>5</v>
      </c>
      <c r="B6">
        <v>3</v>
      </c>
      <c r="C6">
        <v>1</v>
      </c>
      <c r="D6">
        <v>110</v>
      </c>
      <c r="E6">
        <v>1</v>
      </c>
      <c r="F6">
        <v>0</v>
      </c>
    </row>
    <row r="7" spans="1:6">
      <c r="A7">
        <v>6</v>
      </c>
      <c r="B7">
        <v>1</v>
      </c>
      <c r="C7">
        <v>3</v>
      </c>
      <c r="D7">
        <v>35</v>
      </c>
      <c r="E7">
        <v>1</v>
      </c>
      <c r="F7">
        <v>1</v>
      </c>
    </row>
    <row r="8" spans="1:6">
      <c r="A8">
        <v>7</v>
      </c>
      <c r="B8">
        <v>1</v>
      </c>
      <c r="C8">
        <v>3</v>
      </c>
      <c r="D8">
        <v>45</v>
      </c>
      <c r="E8">
        <v>1</v>
      </c>
      <c r="F8">
        <v>1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2D5C3C-A1DF-48A5-A3F8-29AFDB8C103D}">
  <dimension ref="A1"/>
  <sheetViews>
    <sheetView workbookViewId="0"/>
  </sheetViews>
  <sheetFormatPr baseColWidth="10" defaultColWidth="8.83203125" defaultRowHeight="16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Parameters</vt:lpstr>
      <vt:lpstr>Prices</vt:lpstr>
      <vt:lpstr>PlaneData</vt:lpstr>
      <vt:lpstr>PlaneData (2)</vt:lpstr>
      <vt:lpstr>Infrastructure</vt:lpstr>
      <vt:lpstr>PassengerGroups</vt:lpstr>
      <vt:lpstr>PassengerGroups (2)</vt:lpstr>
      <vt:lpstr>Infrastructure (2)</vt:lpstr>
      <vt:lpstr>Infrastructure (3)</vt:lpstr>
      <vt:lpstr>PassengerGroups (4)</vt:lpstr>
      <vt:lpstr>PassengerGroups (3)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Sille Wiberg</dc:creator>
  <cp:lastModifiedBy>Anna-Sofie Børresen</cp:lastModifiedBy>
  <dcterms:created xsi:type="dcterms:W3CDTF">2026-03-10T08:39:53Z</dcterms:created>
  <dcterms:modified xsi:type="dcterms:W3CDTF">2026-04-20T08:43:52Z</dcterms:modified>
</cp:coreProperties>
</file>